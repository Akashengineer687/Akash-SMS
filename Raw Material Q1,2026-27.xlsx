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mieplplant-my.sharepoint.com/personal/santoshkumar_kohroo_marutisteel_in/Documents/Desktop/"/>
    </mc:Choice>
  </mc:AlternateContent>
  <xr:revisionPtr revIDLastSave="52" documentId="8_{B39DCFFD-3FC1-488B-A40E-AAFA7A6C30CD}" xr6:coauthVersionLast="47" xr6:coauthVersionMax="47" xr10:uidLastSave="{C53519EE-EFF5-41D7-B258-A5507934ABED}"/>
  <bookViews>
    <workbookView xWindow="-108" yWindow="-108" windowWidth="23256" windowHeight="12456" activeTab="4" xr2:uid="{00000000-000D-0000-FFFF-FFFF00000000}"/>
  </bookViews>
  <sheets>
    <sheet name="Summary" sheetId="1" r:id="rId1"/>
    <sheet name="May" sheetId="3" r:id="rId2"/>
    <sheet name="June" sheetId="4" r:id="rId3"/>
    <sheet name="April" sheetId="2" r:id="rId4"/>
    <sheet name="Q-1 ,2026-27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5" l="1"/>
  <c r="D17" i="5"/>
  <c r="J12" i="5"/>
  <c r="I12" i="5"/>
  <c r="I9" i="5"/>
  <c r="I4" i="5"/>
  <c r="I5" i="5"/>
  <c r="I6" i="5"/>
  <c r="I3" i="5"/>
  <c r="F15" i="5"/>
  <c r="H15" i="5" s="1"/>
  <c r="F8" i="5"/>
  <c r="H8" i="5" s="1"/>
  <c r="G4" i="5"/>
  <c r="G5" i="5"/>
  <c r="G6" i="5"/>
  <c r="G9" i="5"/>
  <c r="G10" i="5"/>
  <c r="G11" i="5"/>
  <c r="G12" i="5"/>
  <c r="G3" i="5"/>
  <c r="E4" i="5"/>
  <c r="F4" i="5" s="1"/>
  <c r="H4" i="5" s="1"/>
  <c r="E5" i="5"/>
  <c r="F5" i="5" s="1"/>
  <c r="E6" i="5"/>
  <c r="F6" i="5" s="1"/>
  <c r="E7" i="5"/>
  <c r="F7" i="5" s="1"/>
  <c r="E9" i="5"/>
  <c r="F9" i="5" s="1"/>
  <c r="E10" i="5"/>
  <c r="F10" i="5" s="1"/>
  <c r="E11" i="5"/>
  <c r="F11" i="5" s="1"/>
  <c r="E12" i="5"/>
  <c r="F12" i="5" s="1"/>
  <c r="E3" i="5"/>
  <c r="F3" i="5" s="1"/>
  <c r="F15" i="2"/>
  <c r="C24" i="1"/>
  <c r="C23" i="1"/>
  <c r="C22" i="1"/>
  <c r="C21" i="1"/>
  <c r="C20" i="1"/>
  <c r="F16" i="4"/>
  <c r="D21" i="4" s="1"/>
  <c r="D16" i="4"/>
  <c r="D20" i="4"/>
  <c r="E16" i="4"/>
  <c r="J15" i="4"/>
  <c r="J14" i="4"/>
  <c r="J13" i="4"/>
  <c r="J11" i="4"/>
  <c r="J10" i="4"/>
  <c r="J9" i="4"/>
  <c r="J8" i="4"/>
  <c r="J7" i="4"/>
  <c r="J6" i="4"/>
  <c r="J5" i="4"/>
  <c r="J4" i="4"/>
  <c r="J3" i="4"/>
  <c r="F15" i="3"/>
  <c r="I13" i="3" s="1"/>
  <c r="E15" i="3"/>
  <c r="H12" i="5" l="1"/>
  <c r="H7" i="5"/>
  <c r="H3" i="5"/>
  <c r="H6" i="5"/>
  <c r="H5" i="5"/>
  <c r="H11" i="5"/>
  <c r="H10" i="5"/>
  <c r="H9" i="5"/>
  <c r="J16" i="4"/>
  <c r="I12" i="4"/>
  <c r="I4" i="4"/>
  <c r="I10" i="4"/>
  <c r="I6" i="4"/>
  <c r="I8" i="4"/>
  <c r="I13" i="4"/>
  <c r="I3" i="4"/>
  <c r="I5" i="4"/>
  <c r="I7" i="4"/>
  <c r="I9" i="4"/>
  <c r="I11" i="4"/>
  <c r="I14" i="4"/>
  <c r="D20" i="3" l="1"/>
  <c r="I3" i="3"/>
  <c r="D15" i="2" l="1"/>
  <c r="D19" i="3"/>
  <c r="D15" i="3"/>
  <c r="J14" i="3"/>
  <c r="J13" i="3"/>
  <c r="J12" i="3"/>
  <c r="J11" i="3"/>
  <c r="J10" i="3"/>
  <c r="J9" i="3"/>
  <c r="J8" i="3"/>
  <c r="J7" i="3"/>
  <c r="J6" i="3"/>
  <c r="J5" i="3"/>
  <c r="J4" i="3"/>
  <c r="J3" i="3"/>
  <c r="E15" i="2"/>
  <c r="J15" i="2" s="1"/>
  <c r="D20" i="2"/>
  <c r="I4" i="3" l="1"/>
  <c r="I6" i="3"/>
  <c r="I8" i="3"/>
  <c r="I10" i="3"/>
  <c r="I12" i="3"/>
  <c r="I5" i="3"/>
  <c r="I7" i="3"/>
  <c r="I9" i="3"/>
  <c r="I11" i="3"/>
  <c r="J15" i="3"/>
  <c r="J4" i="2" l="1"/>
  <c r="J5" i="2"/>
  <c r="J6" i="2"/>
  <c r="J7" i="2"/>
  <c r="J8" i="2"/>
  <c r="J9" i="2"/>
  <c r="J10" i="2"/>
  <c r="J11" i="2"/>
  <c r="J12" i="2"/>
  <c r="J13" i="2"/>
  <c r="J14" i="2"/>
  <c r="J3" i="2"/>
  <c r="D19" i="2"/>
  <c r="I9" i="2"/>
  <c r="I3" i="2" l="1"/>
  <c r="I5" i="2"/>
  <c r="I12" i="2"/>
  <c r="I8" i="2"/>
  <c r="I4" i="2"/>
  <c r="I11" i="2"/>
  <c r="I7" i="2"/>
  <c r="I10" i="2"/>
  <c r="I6" i="2"/>
  <c r="I13" i="2"/>
  <c r="G13" i="5" l="1"/>
  <c r="E13" i="5"/>
  <c r="D13" i="5"/>
  <c r="F13" i="5" s="1"/>
  <c r="H13" i="5" s="1"/>
  <c r="J7" i="5" l="1"/>
  <c r="J8" i="5"/>
  <c r="J10" i="5"/>
  <c r="J11" i="5"/>
  <c r="J9" i="5"/>
  <c r="J6" i="5"/>
  <c r="J5" i="5"/>
  <c r="J4" i="5"/>
  <c r="J3" i="5"/>
</calcChain>
</file>

<file path=xl/sharedStrings.xml><?xml version="1.0" encoding="utf-8"?>
<sst xmlns="http://schemas.openxmlformats.org/spreadsheetml/2006/main" count="213" uniqueCount="51">
  <si>
    <t>SMS Budgeted Raw Material Consumption QTY (Total)</t>
  </si>
  <si>
    <t>S No</t>
  </si>
  <si>
    <t>Description</t>
  </si>
  <si>
    <t>UoM</t>
  </si>
  <si>
    <t>Total</t>
  </si>
  <si>
    <t>Sponge Iron Lumps</t>
  </si>
  <si>
    <t>MT</t>
  </si>
  <si>
    <t>Sponge Iron Pellets</t>
  </si>
  <si>
    <t>Sponge Iron Fines</t>
  </si>
  <si>
    <t>Scrap</t>
  </si>
  <si>
    <t xml:space="preserve">Pig Iron / Pig Iron Granuels </t>
  </si>
  <si>
    <t>Pooled Iron / CI Mix Scrap</t>
  </si>
  <si>
    <t>PCM Jam/ CI Dust</t>
  </si>
  <si>
    <t>Slag Metal(Mag Material)</t>
  </si>
  <si>
    <t xml:space="preserve">Over size Mag </t>
  </si>
  <si>
    <t>MS Scrap-Rolling Mill</t>
  </si>
  <si>
    <t>Total Feed</t>
  </si>
  <si>
    <t>Silico Manganese</t>
  </si>
  <si>
    <t>Charge Mix</t>
  </si>
  <si>
    <t>Actual</t>
  </si>
  <si>
    <t>AOP Bdgt</t>
  </si>
  <si>
    <t>MS Scrap</t>
  </si>
  <si>
    <t>Received</t>
  </si>
  <si>
    <t>Consumption</t>
  </si>
  <si>
    <t>Total Prime Prod.</t>
  </si>
  <si>
    <t>Non Orime Prod</t>
  </si>
  <si>
    <t>Actual Yield</t>
  </si>
  <si>
    <t>Billets</t>
  </si>
  <si>
    <t>AOP Prod</t>
  </si>
  <si>
    <t>Charge Mix Target Yield</t>
  </si>
  <si>
    <t>PELLETS</t>
  </si>
  <si>
    <t>FINES</t>
  </si>
  <si>
    <t>LUMPS</t>
  </si>
  <si>
    <t>(Received)-(Aop Bdgt)</t>
  </si>
  <si>
    <t>AOP Consum</t>
  </si>
  <si>
    <t>Billet End Cut</t>
  </si>
  <si>
    <t>Incoming Raw Material Pending</t>
  </si>
  <si>
    <t>Opening</t>
  </si>
  <si>
    <t>Receiving</t>
  </si>
  <si>
    <t xml:space="preserve">Total </t>
  </si>
  <si>
    <t xml:space="preserve">Issue </t>
  </si>
  <si>
    <t xml:space="preserve">Closing </t>
  </si>
  <si>
    <t>Chargemix  %</t>
  </si>
  <si>
    <t>Actual %</t>
  </si>
  <si>
    <t>Pig Iron Granuels</t>
  </si>
  <si>
    <t xml:space="preserve"> CI Mix Scrap</t>
  </si>
  <si>
    <t xml:space="preserve">Pig Iron </t>
  </si>
  <si>
    <t>Mt</t>
  </si>
  <si>
    <t>AOP Production</t>
  </si>
  <si>
    <t>Actual Production</t>
  </si>
  <si>
    <t>1st Quarter Raw Materials Details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</si>
</sst>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/>
    <xf numFmtId="0" fontId="2" fillId="0" borderId="4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/>
    <xf numFmtId="0" fontId="4" fillId="0" borderId="1" xfId="0" applyFont="1" applyBorder="1" applyAlignment="1">
      <alignment vertical="center"/>
    </xf>
    <xf numFmtId="0" fontId="3" fillId="0" borderId="5" xfId="0" applyFont="1" applyFill="1" applyBorder="1"/>
    <xf numFmtId="164" fontId="2" fillId="0" borderId="1" xfId="0" applyNumberFormat="1" applyFont="1" applyBorder="1" applyAlignment="1">
      <alignment horizontal="center"/>
    </xf>
    <xf numFmtId="9" fontId="0" fillId="0" borderId="1" xfId="0" applyNumberFormat="1" applyBorder="1"/>
    <xf numFmtId="10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4" fontId="2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0" fontId="0" fillId="0" borderId="1" xfId="0" applyFill="1" applyBorder="1"/>
    <xf numFmtId="164" fontId="0" fillId="0" borderId="1" xfId="0" applyNumberFormat="1" applyBorder="1" applyAlignment="1">
      <alignment horizontal="center" vertical="center"/>
    </xf>
    <xf numFmtId="0" fontId="0" fillId="0" borderId="0" xfId="0" applyAlignment="1"/>
    <xf numFmtId="0" fontId="5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3" fillId="0" borderId="1" xfId="0" applyFont="1" applyFill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2" fillId="0" borderId="9" xfId="0" applyFont="1" applyBorder="1" applyAlignment="1">
      <alignment horizontal="center" vertical="center"/>
    </xf>
    <xf numFmtId="10" fontId="0" fillId="0" borderId="10" xfId="0" applyNumberFormat="1" applyBorder="1"/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2" fillId="0" borderId="12" xfId="0" applyFont="1" applyBorder="1" applyAlignment="1">
      <alignment horizontal="center"/>
    </xf>
    <xf numFmtId="0" fontId="0" fillId="0" borderId="12" xfId="0" applyBorder="1"/>
    <xf numFmtId="10" fontId="0" fillId="0" borderId="13" xfId="0" applyNumberFormat="1" applyBorder="1"/>
    <xf numFmtId="0" fontId="3" fillId="0" borderId="5" xfId="0" applyFont="1" applyBorder="1"/>
    <xf numFmtId="10" fontId="0" fillId="0" borderId="5" xfId="0" applyNumberFormat="1" applyBorder="1"/>
    <xf numFmtId="0" fontId="4" fillId="0" borderId="14" xfId="0" applyFont="1" applyBorder="1" applyAlignment="1">
      <alignment vertical="center"/>
    </xf>
    <xf numFmtId="0" fontId="0" fillId="0" borderId="15" xfId="0" applyBorder="1"/>
    <xf numFmtId="10" fontId="0" fillId="0" borderId="16" xfId="0" applyNumberFormat="1" applyBorder="1"/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/>
    </xf>
    <xf numFmtId="0" fontId="0" fillId="4" borderId="7" xfId="0" applyFill="1" applyBorder="1"/>
    <xf numFmtId="0" fontId="0" fillId="4" borderId="8" xfId="0" applyFill="1" applyBorder="1"/>
    <xf numFmtId="0" fontId="0" fillId="0" borderId="17" xfId="0" applyBorder="1"/>
    <xf numFmtId="0" fontId="2" fillId="0" borderId="18" xfId="0" applyFont="1" applyFill="1" applyBorder="1" applyAlignment="1">
      <alignment horizontal="center"/>
    </xf>
    <xf numFmtId="1" fontId="0" fillId="0" borderId="19" xfId="0" applyNumberFormat="1" applyBorder="1"/>
    <xf numFmtId="0" fontId="0" fillId="0" borderId="20" xfId="0" applyBorder="1"/>
    <xf numFmtId="0" fontId="2" fillId="0" borderId="21" xfId="0" applyFont="1" applyFill="1" applyBorder="1" applyAlignment="1">
      <alignment horizontal="center"/>
    </xf>
    <xf numFmtId="0" fontId="0" fillId="0" borderId="22" xfId="0" applyBorder="1"/>
    <xf numFmtId="164" fontId="5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5" borderId="23" xfId="0" applyFont="1" applyFill="1" applyBorder="1" applyAlignment="1">
      <alignment horizontal="center"/>
    </xf>
    <xf numFmtId="0" fontId="7" fillId="5" borderId="24" xfId="0" applyFont="1" applyFill="1" applyBorder="1" applyAlignment="1">
      <alignment horizontal="center"/>
    </xf>
    <xf numFmtId="0" fontId="7" fillId="5" borderId="2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opLeftCell="A17" workbookViewId="0">
      <pane xSplit="9" ySplit="11" topLeftCell="J28" activePane="bottomRight" state="frozen"/>
      <selection activeCell="A17" sqref="A17"/>
      <selection pane="topRight" activeCell="J17" sqref="J17"/>
      <selection pane="bottomLeft" activeCell="A28" sqref="A28"/>
      <selection pane="bottomRight" activeCell="F23" sqref="F23"/>
    </sheetView>
  </sheetViews>
  <sheetFormatPr defaultRowHeight="14.4" x14ac:dyDescent="0.3"/>
  <cols>
    <col min="2" max="2" width="30.5546875" bestFit="1" customWidth="1"/>
  </cols>
  <sheetData>
    <row r="1" spans="1:16" hidden="1" x14ac:dyDescent="0.3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1:16" hidden="1" x14ac:dyDescent="0.3">
      <c r="A2" s="1" t="s">
        <v>1</v>
      </c>
      <c r="B2" s="2" t="s">
        <v>2</v>
      </c>
      <c r="C2" s="2" t="s">
        <v>3</v>
      </c>
      <c r="D2" s="3">
        <v>46113</v>
      </c>
      <c r="E2" s="3">
        <v>46143</v>
      </c>
      <c r="F2" s="3">
        <v>46174</v>
      </c>
      <c r="G2" s="3">
        <v>46204</v>
      </c>
      <c r="H2" s="3">
        <v>46235</v>
      </c>
      <c r="I2" s="3">
        <v>46266</v>
      </c>
      <c r="J2" s="3">
        <v>46296</v>
      </c>
      <c r="K2" s="3">
        <v>46327</v>
      </c>
      <c r="L2" s="3">
        <v>46357</v>
      </c>
      <c r="M2" s="3">
        <v>46388</v>
      </c>
      <c r="N2" s="3">
        <v>46419</v>
      </c>
      <c r="O2" s="3">
        <v>46447</v>
      </c>
      <c r="P2" s="4" t="s">
        <v>4</v>
      </c>
    </row>
    <row r="3" spans="1:16" hidden="1" x14ac:dyDescent="0.3">
      <c r="A3" s="5">
        <v>1</v>
      </c>
      <c r="B3" s="6" t="s">
        <v>5</v>
      </c>
      <c r="C3" s="7" t="s">
        <v>6</v>
      </c>
      <c r="D3" s="8">
        <v>2373.9328463930819</v>
      </c>
      <c r="E3" s="8">
        <v>2496.7224763789304</v>
      </c>
      <c r="F3" s="8">
        <v>2414.8627230550314</v>
      </c>
      <c r="G3" s="8">
        <v>2496.7224763789304</v>
      </c>
      <c r="H3" s="8">
        <v>2128.3535864213841</v>
      </c>
      <c r="I3" s="8">
        <v>2414.8627230550314</v>
      </c>
      <c r="J3" s="8">
        <v>2496.7224763789304</v>
      </c>
      <c r="K3" s="8">
        <v>2414.8627230550314</v>
      </c>
      <c r="L3" s="8">
        <v>2496.7224763789304</v>
      </c>
      <c r="M3" s="8">
        <v>2455.7925997169809</v>
      </c>
      <c r="N3" s="8">
        <v>2251.1432164072326</v>
      </c>
      <c r="O3" s="8">
        <v>2496.7224763789304</v>
      </c>
      <c r="P3" s="8">
        <v>28937.422799998425</v>
      </c>
    </row>
    <row r="4" spans="1:16" hidden="1" x14ac:dyDescent="0.3">
      <c r="A4" s="5">
        <v>2</v>
      </c>
      <c r="B4" s="6" t="s">
        <v>7</v>
      </c>
      <c r="C4" s="7" t="s">
        <v>6</v>
      </c>
      <c r="D4" s="8">
        <v>3692.7844277225722</v>
      </c>
      <c r="E4" s="8">
        <v>3883.7905188116702</v>
      </c>
      <c r="F4" s="8">
        <v>3756.4531247522718</v>
      </c>
      <c r="G4" s="8">
        <v>3883.7905188116702</v>
      </c>
      <c r="H4" s="8">
        <v>3310.7722455443754</v>
      </c>
      <c r="I4" s="8">
        <v>3756.4531247522718</v>
      </c>
      <c r="J4" s="8">
        <v>3883.7905188116702</v>
      </c>
      <c r="K4" s="8">
        <v>3756.4531247522718</v>
      </c>
      <c r="L4" s="8">
        <v>3883.7905188116702</v>
      </c>
      <c r="M4" s="8">
        <v>3820.121821781971</v>
      </c>
      <c r="N4" s="8">
        <v>3501.7783366334734</v>
      </c>
      <c r="O4" s="8">
        <v>3883.7905188116702</v>
      </c>
      <c r="P4" s="8">
        <v>45013.768799997561</v>
      </c>
    </row>
    <row r="5" spans="1:16" hidden="1" x14ac:dyDescent="0.3">
      <c r="A5" s="5">
        <v>3</v>
      </c>
      <c r="B5" s="9" t="s">
        <v>8</v>
      </c>
      <c r="C5" s="10" t="s">
        <v>6</v>
      </c>
      <c r="D5" s="8">
        <v>659.42579066474502</v>
      </c>
      <c r="E5" s="8">
        <v>693.53402121636964</v>
      </c>
      <c r="F5" s="8">
        <v>670.79520084861997</v>
      </c>
      <c r="G5" s="8">
        <v>693.53402121636964</v>
      </c>
      <c r="H5" s="8">
        <v>591.20932956149557</v>
      </c>
      <c r="I5" s="8">
        <v>670.79520084861997</v>
      </c>
      <c r="J5" s="8">
        <v>693.53402121636964</v>
      </c>
      <c r="K5" s="8">
        <v>670.79520084861997</v>
      </c>
      <c r="L5" s="8">
        <v>693.53402121636964</v>
      </c>
      <c r="M5" s="8">
        <v>682.1646110324948</v>
      </c>
      <c r="N5" s="8">
        <v>625.31756011312018</v>
      </c>
      <c r="O5" s="8">
        <v>693.53402121636964</v>
      </c>
      <c r="P5" s="11">
        <v>8038.1729999995641</v>
      </c>
    </row>
    <row r="6" spans="1:16" hidden="1" x14ac:dyDescent="0.3">
      <c r="A6" s="5">
        <v>4</v>
      </c>
      <c r="B6" s="6" t="s">
        <v>9</v>
      </c>
      <c r="C6" s="7" t="s">
        <v>6</v>
      </c>
      <c r="D6" s="8">
        <v>5407.2914834509083</v>
      </c>
      <c r="E6" s="8">
        <v>5686.9789739742309</v>
      </c>
      <c r="F6" s="8">
        <v>5500.5206469586828</v>
      </c>
      <c r="G6" s="8">
        <v>5686.9789739742309</v>
      </c>
      <c r="H6" s="8">
        <v>4847.9165024042632</v>
      </c>
      <c r="I6" s="8">
        <v>5500.5206469586828</v>
      </c>
      <c r="J6" s="8">
        <v>5686.9789739742309</v>
      </c>
      <c r="K6" s="8">
        <v>5500.5206469586828</v>
      </c>
      <c r="L6" s="8">
        <v>5686.9789739742309</v>
      </c>
      <c r="M6" s="8">
        <v>5593.7498104664564</v>
      </c>
      <c r="N6" s="8">
        <v>5127.6039929275848</v>
      </c>
      <c r="O6" s="8">
        <v>5686.9789739742309</v>
      </c>
      <c r="P6" s="8">
        <v>65913.018599996431</v>
      </c>
    </row>
    <row r="7" spans="1:16" hidden="1" x14ac:dyDescent="0.3">
      <c r="A7" s="5">
        <v>5</v>
      </c>
      <c r="B7" s="6" t="s">
        <v>10</v>
      </c>
      <c r="C7" s="7" t="s">
        <v>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</row>
    <row r="8" spans="1:16" hidden="1" x14ac:dyDescent="0.3">
      <c r="A8" s="5">
        <v>6</v>
      </c>
      <c r="B8" s="6" t="s">
        <v>11</v>
      </c>
      <c r="C8" s="7" t="s">
        <v>6</v>
      </c>
      <c r="D8" s="8">
        <v>316.52437951907763</v>
      </c>
      <c r="E8" s="8">
        <v>332.89633018385746</v>
      </c>
      <c r="F8" s="8">
        <v>321.98169640733755</v>
      </c>
      <c r="G8" s="8">
        <v>332.89633018385746</v>
      </c>
      <c r="H8" s="8">
        <v>283.78047818951785</v>
      </c>
      <c r="I8" s="8">
        <v>321.98169640733755</v>
      </c>
      <c r="J8" s="8">
        <v>332.89633018385746</v>
      </c>
      <c r="K8" s="8">
        <v>321.98169640733755</v>
      </c>
      <c r="L8" s="8">
        <v>332.89633018385746</v>
      </c>
      <c r="M8" s="8">
        <v>327.43901329559748</v>
      </c>
      <c r="N8" s="8">
        <v>300.15242885429768</v>
      </c>
      <c r="O8" s="8">
        <v>332.89633018385746</v>
      </c>
      <c r="P8" s="8">
        <v>3858.3230399997906</v>
      </c>
    </row>
    <row r="9" spans="1:16" hidden="1" x14ac:dyDescent="0.3">
      <c r="A9" s="5">
        <v>7</v>
      </c>
      <c r="B9" s="6" t="s">
        <v>12</v>
      </c>
      <c r="C9" s="7" t="s">
        <v>6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</row>
    <row r="10" spans="1:16" hidden="1" x14ac:dyDescent="0.3">
      <c r="A10" s="5">
        <v>8</v>
      </c>
      <c r="B10" s="6" t="s">
        <v>13</v>
      </c>
      <c r="C10" s="7" t="s">
        <v>6</v>
      </c>
      <c r="D10" s="8">
        <v>182.84740391012846</v>
      </c>
      <c r="E10" s="8">
        <v>192.30502825030726</v>
      </c>
      <c r="F10" s="8">
        <v>185.99994535685491</v>
      </c>
      <c r="G10" s="8">
        <v>192.30502825030726</v>
      </c>
      <c r="H10" s="8">
        <v>163.9321552297703</v>
      </c>
      <c r="I10" s="8">
        <v>185.99994535685491</v>
      </c>
      <c r="J10" s="8">
        <v>192.30502825030726</v>
      </c>
      <c r="K10" s="8">
        <v>185.99994535685491</v>
      </c>
      <c r="L10" s="8">
        <v>192.30502825030726</v>
      </c>
      <c r="M10" s="8">
        <v>189.15248680358118</v>
      </c>
      <c r="N10" s="8">
        <v>173.38977956994947</v>
      </c>
      <c r="O10" s="8">
        <v>192.30502825030726</v>
      </c>
      <c r="P10" s="8">
        <v>2228.8468028355305</v>
      </c>
    </row>
    <row r="11" spans="1:16" hidden="1" x14ac:dyDescent="0.3">
      <c r="A11" s="5">
        <v>9</v>
      </c>
      <c r="B11" s="12" t="s">
        <v>14</v>
      </c>
      <c r="C11" s="7" t="s">
        <v>6</v>
      </c>
      <c r="D11" s="8">
        <v>13.188515813294901</v>
      </c>
      <c r="E11" s="8">
        <v>13.870680424327393</v>
      </c>
      <c r="F11" s="8">
        <v>13.415904016972398</v>
      </c>
      <c r="G11" s="8">
        <v>13.870680424327393</v>
      </c>
      <c r="H11" s="8">
        <v>11.82418659122991</v>
      </c>
      <c r="I11" s="8">
        <v>13.415904016972398</v>
      </c>
      <c r="J11" s="8">
        <v>13.870680424327393</v>
      </c>
      <c r="K11" s="8">
        <v>13.415904016972398</v>
      </c>
      <c r="L11" s="8">
        <v>13.870680424327393</v>
      </c>
      <c r="M11" s="8">
        <v>13.643292220649895</v>
      </c>
      <c r="N11" s="8">
        <v>12.506351202262405</v>
      </c>
      <c r="O11" s="8">
        <v>13.870680424327393</v>
      </c>
      <c r="P11" s="8">
        <v>160.76345999999128</v>
      </c>
    </row>
    <row r="12" spans="1:16" hidden="1" x14ac:dyDescent="0.3">
      <c r="A12" s="5">
        <v>10</v>
      </c>
      <c r="B12" s="13" t="s">
        <v>15</v>
      </c>
      <c r="C12" s="7" t="s">
        <v>6</v>
      </c>
      <c r="D12" s="8">
        <v>474.78656927861635</v>
      </c>
      <c r="E12" s="8">
        <v>499.34449527578607</v>
      </c>
      <c r="F12" s="8">
        <v>482.9725446110063</v>
      </c>
      <c r="G12" s="8">
        <v>499.34449527578607</v>
      </c>
      <c r="H12" s="8">
        <v>425.67071728427675</v>
      </c>
      <c r="I12" s="8">
        <v>482.9725446110063</v>
      </c>
      <c r="J12" s="8">
        <v>499.34449527578607</v>
      </c>
      <c r="K12" s="8">
        <v>482.9725446110063</v>
      </c>
      <c r="L12" s="8">
        <v>499.34449527578607</v>
      </c>
      <c r="M12" s="8">
        <v>491.15851994339619</v>
      </c>
      <c r="N12" s="8">
        <v>450.22864328144652</v>
      </c>
      <c r="O12" s="8">
        <v>499.34449527578607</v>
      </c>
      <c r="P12" s="8">
        <v>5787.4845599996861</v>
      </c>
    </row>
    <row r="13" spans="1:16" hidden="1" x14ac:dyDescent="0.3">
      <c r="A13" s="5">
        <v>11</v>
      </c>
      <c r="B13" s="6" t="s">
        <v>16</v>
      </c>
      <c r="C13" s="7" t="s">
        <v>6</v>
      </c>
      <c r="D13" s="8">
        <v>13120.781416752427</v>
      </c>
      <c r="E13" s="8">
        <v>13799.442524515478</v>
      </c>
      <c r="F13" s="8">
        <v>13347.001786006778</v>
      </c>
      <c r="G13" s="8">
        <v>13799.442524515478</v>
      </c>
      <c r="H13" s="8">
        <v>11763.459201226311</v>
      </c>
      <c r="I13" s="8">
        <v>13347.001786006778</v>
      </c>
      <c r="J13" s="8">
        <v>13799.442524515478</v>
      </c>
      <c r="K13" s="8">
        <v>13347.001786006778</v>
      </c>
      <c r="L13" s="8">
        <v>13799.442524515478</v>
      </c>
      <c r="M13" s="8">
        <v>13573.222155261128</v>
      </c>
      <c r="N13" s="8">
        <v>12442.120308989366</v>
      </c>
      <c r="O13" s="8">
        <v>13799.442524515478</v>
      </c>
      <c r="P13" s="8">
        <v>159937.80106282697</v>
      </c>
    </row>
    <row r="14" spans="1:16" hidden="1" x14ac:dyDescent="0.3">
      <c r="A14" s="5">
        <v>12</v>
      </c>
      <c r="B14" s="14" t="s">
        <v>17</v>
      </c>
      <c r="C14" s="7" t="s">
        <v>6</v>
      </c>
      <c r="D14" s="8">
        <v>144.8331495315602</v>
      </c>
      <c r="E14" s="8">
        <v>152.22107105905468</v>
      </c>
      <c r="F14" s="8">
        <v>147.295790040725</v>
      </c>
      <c r="G14" s="8">
        <v>152.22107105905468</v>
      </c>
      <c r="H14" s="8">
        <v>130.0573064765712</v>
      </c>
      <c r="I14" s="8">
        <v>147.295790040725</v>
      </c>
      <c r="J14" s="8">
        <v>152.22107105905468</v>
      </c>
      <c r="K14" s="8">
        <v>147.295790040725</v>
      </c>
      <c r="L14" s="8">
        <v>152.22107105905468</v>
      </c>
      <c r="M14" s="8">
        <v>149.75843054988985</v>
      </c>
      <c r="N14" s="8">
        <v>137.44522800406568</v>
      </c>
      <c r="O14" s="8">
        <v>152.22107105905468</v>
      </c>
      <c r="P14" s="8">
        <v>1765.0868399795354</v>
      </c>
    </row>
    <row r="15" spans="1:16" hidden="1" x14ac:dyDescent="0.3"/>
    <row r="16" spans="1:16" hidden="1" x14ac:dyDescent="0.3">
      <c r="B16" s="6" t="s">
        <v>27</v>
      </c>
      <c r="C16" s="7" t="s">
        <v>6</v>
      </c>
      <c r="D16" s="8">
        <v>11246.704687524425</v>
      </c>
      <c r="E16" s="8">
        <v>11828.430792051549</v>
      </c>
      <c r="F16" s="8">
        <v>11440.613389033466</v>
      </c>
      <c r="G16" s="8">
        <v>11828.430792051549</v>
      </c>
      <c r="H16" s="8">
        <v>10083.252478470175</v>
      </c>
      <c r="I16" s="8">
        <v>11440.613389033466</v>
      </c>
      <c r="J16" s="8">
        <v>11828.430792051549</v>
      </c>
      <c r="K16" s="8">
        <v>11440.613389033466</v>
      </c>
      <c r="L16" s="8">
        <v>11828.430792051549</v>
      </c>
      <c r="M16" s="8">
        <v>11634.522090542509</v>
      </c>
      <c r="N16" s="8">
        <v>10664.978582997299</v>
      </c>
      <c r="O16" s="8">
        <v>11828.430792051549</v>
      </c>
      <c r="P16" s="8">
        <v>137093.45196689255</v>
      </c>
    </row>
    <row r="19" spans="2:7" ht="18" x14ac:dyDescent="0.35">
      <c r="B19" s="60" t="s">
        <v>36</v>
      </c>
      <c r="C19" s="60"/>
      <c r="D19" s="60"/>
      <c r="E19" s="29"/>
      <c r="F19" s="29"/>
      <c r="G19" s="29"/>
    </row>
    <row r="20" spans="2:7" ht="18" x14ac:dyDescent="0.35">
      <c r="B20" s="30" t="s">
        <v>5</v>
      </c>
      <c r="C20" s="59">
        <f>April!J3+May!J3+June!J3</f>
        <v>-2485.258045827044</v>
      </c>
      <c r="D20" s="59"/>
    </row>
    <row r="21" spans="2:7" ht="18" x14ac:dyDescent="0.35">
      <c r="B21" s="31" t="s">
        <v>8</v>
      </c>
      <c r="C21" s="59">
        <f>April!J5+May!J5+June!J5</f>
        <v>1304.5549872702654</v>
      </c>
      <c r="D21" s="59"/>
    </row>
    <row r="22" spans="2:7" ht="18" x14ac:dyDescent="0.35">
      <c r="B22" s="30" t="s">
        <v>9</v>
      </c>
      <c r="C22" s="59">
        <f>April!J6+May!J6+June!J6</f>
        <v>-1668.411104383822</v>
      </c>
      <c r="D22" s="59"/>
    </row>
    <row r="23" spans="2:7" ht="18" x14ac:dyDescent="0.35">
      <c r="B23" s="30" t="s">
        <v>11</v>
      </c>
      <c r="C23" s="59">
        <f>April!J8+May!J8+June!J8</f>
        <v>-752.4524061102727</v>
      </c>
      <c r="D23" s="59"/>
    </row>
    <row r="24" spans="2:7" ht="18" x14ac:dyDescent="0.35">
      <c r="B24" s="32" t="s">
        <v>17</v>
      </c>
      <c r="C24" s="59">
        <f>April!J14+May!J14+June!J14</f>
        <v>-270.4367652016212</v>
      </c>
      <c r="D24" s="59"/>
    </row>
  </sheetData>
  <mergeCells count="7">
    <mergeCell ref="C24:D24"/>
    <mergeCell ref="B19:D19"/>
    <mergeCell ref="A1:P1"/>
    <mergeCell ref="C20:D20"/>
    <mergeCell ref="C21:D21"/>
    <mergeCell ref="C22:D22"/>
    <mergeCell ref="C23:D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0255-26E9-4A26-B18F-99A6DCC7B9EC}">
  <dimension ref="A2:J20"/>
  <sheetViews>
    <sheetView workbookViewId="0">
      <selection activeCell="G19" sqref="G19:G20"/>
    </sheetView>
  </sheetViews>
  <sheetFormatPr defaultRowHeight="14.4" x14ac:dyDescent="0.3"/>
  <cols>
    <col min="2" max="2" width="23.33203125" bestFit="1" customWidth="1"/>
    <col min="4" max="4" width="10" bestFit="1" customWidth="1"/>
    <col min="5" max="5" width="10" customWidth="1"/>
    <col min="6" max="6" width="12.88671875" bestFit="1" customWidth="1"/>
    <col min="7" max="7" width="12.44140625" bestFit="1" customWidth="1"/>
    <col min="8" max="8" width="10.88671875" bestFit="1" customWidth="1"/>
    <col min="10" max="10" width="21" bestFit="1" customWidth="1"/>
  </cols>
  <sheetData>
    <row r="2" spans="1:10" x14ac:dyDescent="0.3">
      <c r="A2" s="23" t="s">
        <v>1</v>
      </c>
      <c r="B2" s="24" t="s">
        <v>2</v>
      </c>
      <c r="C2" s="24" t="s">
        <v>3</v>
      </c>
      <c r="D2" s="19" t="s">
        <v>20</v>
      </c>
      <c r="E2" s="19" t="s">
        <v>22</v>
      </c>
      <c r="F2" s="19" t="s">
        <v>23</v>
      </c>
      <c r="G2" s="27" t="s">
        <v>34</v>
      </c>
      <c r="H2" s="19" t="s">
        <v>18</v>
      </c>
      <c r="I2" s="19" t="s">
        <v>19</v>
      </c>
      <c r="J2" s="19" t="s">
        <v>33</v>
      </c>
    </row>
    <row r="3" spans="1:10" x14ac:dyDescent="0.3">
      <c r="A3" s="5">
        <v>1</v>
      </c>
      <c r="B3" s="6" t="s">
        <v>5</v>
      </c>
      <c r="C3" s="7" t="s">
        <v>6</v>
      </c>
      <c r="D3" s="8">
        <v>2496.7224763789304</v>
      </c>
      <c r="E3" s="16">
        <v>2009.74</v>
      </c>
      <c r="F3" s="16">
        <v>2204</v>
      </c>
      <c r="G3" s="17">
        <v>0.18</v>
      </c>
      <c r="H3" s="17">
        <v>0.16</v>
      </c>
      <c r="I3" s="18">
        <f t="shared" ref="I3:I13" si="0">F3/F$15</f>
        <v>0.15705444530350915</v>
      </c>
      <c r="J3" s="28">
        <f>E3-D3</f>
        <v>-486.98247637893041</v>
      </c>
    </row>
    <row r="4" spans="1:10" x14ac:dyDescent="0.3">
      <c r="A4" s="5">
        <v>2</v>
      </c>
      <c r="B4" s="6" t="s">
        <v>7</v>
      </c>
      <c r="C4" s="7" t="s">
        <v>6</v>
      </c>
      <c r="D4" s="8">
        <v>3883.7905188116702</v>
      </c>
      <c r="E4" s="16">
        <v>3603.96</v>
      </c>
      <c r="F4" s="16">
        <v>3614</v>
      </c>
      <c r="G4" s="17">
        <v>0.28000000000000003</v>
      </c>
      <c r="H4" s="18">
        <v>0.28549999999999998</v>
      </c>
      <c r="I4" s="18">
        <f t="shared" si="0"/>
        <v>0.25752938535702452</v>
      </c>
      <c r="J4" s="28">
        <f t="shared" ref="J4:J14" si="1">E4-D4</f>
        <v>-279.83051881167012</v>
      </c>
    </row>
    <row r="5" spans="1:10" x14ac:dyDescent="0.3">
      <c r="A5" s="5">
        <v>3</v>
      </c>
      <c r="B5" s="9" t="s">
        <v>8</v>
      </c>
      <c r="C5" s="10" t="s">
        <v>6</v>
      </c>
      <c r="D5" s="8">
        <v>693.53402121636964</v>
      </c>
      <c r="E5" s="16">
        <v>1305.3699999999999</v>
      </c>
      <c r="F5" s="16">
        <v>1206</v>
      </c>
      <c r="G5" s="17">
        <v>0.05</v>
      </c>
      <c r="H5" s="18">
        <v>8.1900000000000001E-2</v>
      </c>
      <c r="I5" s="18">
        <f t="shared" si="0"/>
        <v>8.593814021598549E-2</v>
      </c>
      <c r="J5" s="28">
        <f t="shared" si="1"/>
        <v>611.83597878363025</v>
      </c>
    </row>
    <row r="6" spans="1:10" x14ac:dyDescent="0.3">
      <c r="A6" s="5">
        <v>4</v>
      </c>
      <c r="B6" s="6" t="s">
        <v>9</v>
      </c>
      <c r="C6" s="7" t="s">
        <v>6</v>
      </c>
      <c r="D6" s="8">
        <v>5686.9789739742309</v>
      </c>
      <c r="E6" s="16">
        <v>6131.42</v>
      </c>
      <c r="F6" s="16">
        <v>5962</v>
      </c>
      <c r="G6" s="17">
        <v>0.41</v>
      </c>
      <c r="H6" s="18">
        <v>0.40450000000000003</v>
      </c>
      <c r="I6" s="18">
        <f t="shared" si="0"/>
        <v>0.42484510113408414</v>
      </c>
      <c r="J6" s="28">
        <f t="shared" si="1"/>
        <v>444.44102602576913</v>
      </c>
    </row>
    <row r="7" spans="1:10" x14ac:dyDescent="0.3">
      <c r="A7" s="5">
        <v>5</v>
      </c>
      <c r="B7" s="6" t="s">
        <v>10</v>
      </c>
      <c r="C7" s="7" t="s">
        <v>6</v>
      </c>
      <c r="D7" s="8">
        <v>0</v>
      </c>
      <c r="E7" s="16"/>
      <c r="F7" s="16">
        <v>8</v>
      </c>
      <c r="G7" s="17">
        <v>0</v>
      </c>
      <c r="H7" s="17"/>
      <c r="I7" s="18">
        <f t="shared" si="0"/>
        <v>5.7007058186391696E-4</v>
      </c>
      <c r="J7" s="28">
        <f t="shared" si="1"/>
        <v>0</v>
      </c>
    </row>
    <row r="8" spans="1:10" x14ac:dyDescent="0.3">
      <c r="A8" s="5">
        <v>6</v>
      </c>
      <c r="B8" s="6" t="s">
        <v>11</v>
      </c>
      <c r="C8" s="7" t="s">
        <v>6</v>
      </c>
      <c r="D8" s="8">
        <v>332.89633018385746</v>
      </c>
      <c r="E8" s="16">
        <v>84.97</v>
      </c>
      <c r="F8" s="16">
        <v>224</v>
      </c>
      <c r="G8" s="17">
        <v>0.02</v>
      </c>
      <c r="H8" s="18">
        <v>1.8100000000000002E-2</v>
      </c>
      <c r="I8" s="18">
        <f t="shared" si="0"/>
        <v>1.5961976292189678E-2</v>
      </c>
      <c r="J8" s="28">
        <f t="shared" si="1"/>
        <v>-247.92633018385746</v>
      </c>
    </row>
    <row r="9" spans="1:10" x14ac:dyDescent="0.3">
      <c r="A9" s="5">
        <v>7</v>
      </c>
      <c r="B9" s="6" t="s">
        <v>12</v>
      </c>
      <c r="C9" s="7" t="s">
        <v>6</v>
      </c>
      <c r="D9" s="8">
        <v>0</v>
      </c>
      <c r="E9" s="16"/>
      <c r="F9" s="16"/>
      <c r="G9" s="17">
        <v>0</v>
      </c>
      <c r="H9" s="19"/>
      <c r="I9" s="18">
        <f t="shared" si="0"/>
        <v>0</v>
      </c>
      <c r="J9" s="28">
        <f t="shared" si="1"/>
        <v>0</v>
      </c>
    </row>
    <row r="10" spans="1:10" x14ac:dyDescent="0.3">
      <c r="A10" s="5">
        <v>8</v>
      </c>
      <c r="B10" s="15" t="s">
        <v>21</v>
      </c>
      <c r="C10" s="7" t="s">
        <v>6</v>
      </c>
      <c r="D10" s="8">
        <v>0</v>
      </c>
      <c r="E10" s="16">
        <v>15.15</v>
      </c>
      <c r="F10" s="16">
        <v>19.350000000000001</v>
      </c>
      <c r="G10" s="19"/>
      <c r="H10" s="19"/>
      <c r="I10" s="18">
        <f t="shared" si="0"/>
        <v>1.3788582198833493E-3</v>
      </c>
      <c r="J10" s="28">
        <f t="shared" si="1"/>
        <v>15.15</v>
      </c>
    </row>
    <row r="11" spans="1:10" x14ac:dyDescent="0.3">
      <c r="A11" s="5">
        <v>9</v>
      </c>
      <c r="B11" s="6" t="s">
        <v>13</v>
      </c>
      <c r="C11" s="7" t="s">
        <v>6</v>
      </c>
      <c r="D11" s="8">
        <v>192.30502825030726</v>
      </c>
      <c r="E11" s="16">
        <v>250.56</v>
      </c>
      <c r="F11" s="16">
        <v>291</v>
      </c>
      <c r="G11" s="17">
        <v>1.9E-2</v>
      </c>
      <c r="H11" s="17">
        <v>0.02</v>
      </c>
      <c r="I11" s="18">
        <f t="shared" si="0"/>
        <v>2.0736317415299983E-2</v>
      </c>
      <c r="J11" s="28">
        <f t="shared" si="1"/>
        <v>58.254971749692743</v>
      </c>
    </row>
    <row r="12" spans="1:10" x14ac:dyDescent="0.3">
      <c r="A12" s="5">
        <v>10</v>
      </c>
      <c r="B12" s="12" t="s">
        <v>14</v>
      </c>
      <c r="C12" s="7" t="s">
        <v>6</v>
      </c>
      <c r="D12" s="8">
        <v>13.870680424327393</v>
      </c>
      <c r="E12" s="16"/>
      <c r="F12" s="16"/>
      <c r="G12" s="19"/>
      <c r="H12" s="19"/>
      <c r="I12" s="18">
        <f t="shared" si="0"/>
        <v>0</v>
      </c>
      <c r="J12" s="28">
        <f t="shared" si="1"/>
        <v>-13.870680424327393</v>
      </c>
    </row>
    <row r="13" spans="1:10" x14ac:dyDescent="0.3">
      <c r="A13" s="5">
        <v>11</v>
      </c>
      <c r="B13" s="13" t="s">
        <v>15</v>
      </c>
      <c r="C13" s="7" t="s">
        <v>6</v>
      </c>
      <c r="D13" s="8">
        <v>499.34449527578607</v>
      </c>
      <c r="E13" s="16">
        <v>527.41999999999996</v>
      </c>
      <c r="F13" s="16">
        <v>505</v>
      </c>
      <c r="G13" s="26">
        <v>3.6000000000000004E-2</v>
      </c>
      <c r="H13" s="17">
        <v>0.03</v>
      </c>
      <c r="I13" s="18">
        <f t="shared" si="0"/>
        <v>3.5985705480159759E-2</v>
      </c>
      <c r="J13" s="28">
        <f t="shared" si="1"/>
        <v>28.075504724213886</v>
      </c>
    </row>
    <row r="14" spans="1:10" x14ac:dyDescent="0.3">
      <c r="A14" s="5">
        <v>12</v>
      </c>
      <c r="B14" s="14" t="s">
        <v>17</v>
      </c>
      <c r="C14" s="7" t="s">
        <v>6</v>
      </c>
      <c r="D14" s="8">
        <v>152.22107105905468</v>
      </c>
      <c r="E14" s="16">
        <v>175</v>
      </c>
      <c r="F14" s="16">
        <v>151.4</v>
      </c>
      <c r="G14" s="19"/>
      <c r="H14" s="19"/>
      <c r="I14" s="18"/>
      <c r="J14" s="28">
        <f t="shared" si="1"/>
        <v>22.77892894094532</v>
      </c>
    </row>
    <row r="15" spans="1:10" x14ac:dyDescent="0.3">
      <c r="A15" s="5"/>
      <c r="B15" s="6" t="s">
        <v>16</v>
      </c>
      <c r="C15" s="7" t="s">
        <v>6</v>
      </c>
      <c r="D15" s="20">
        <f>SUM(D3:D13)</f>
        <v>13799.442524515478</v>
      </c>
      <c r="E15" s="20">
        <f>SUM(E3:E14)</f>
        <v>14103.589999999998</v>
      </c>
      <c r="F15" s="20">
        <f>SUM(F3:F13)</f>
        <v>14033.35</v>
      </c>
      <c r="G15" s="19"/>
      <c r="H15" s="19"/>
      <c r="I15" s="19"/>
      <c r="J15" s="28">
        <f>E15-D15</f>
        <v>304.14747548452033</v>
      </c>
    </row>
    <row r="17" spans="2:10" x14ac:dyDescent="0.3">
      <c r="B17" s="19" t="s">
        <v>24</v>
      </c>
      <c r="C17" s="19"/>
      <c r="D17" s="21">
        <v>11918.803</v>
      </c>
      <c r="F17" s="19" t="s">
        <v>28</v>
      </c>
      <c r="G17" s="8">
        <v>11828</v>
      </c>
      <c r="I17" s="19" t="s">
        <v>30</v>
      </c>
      <c r="J17" s="25">
        <v>77.941719858156006</v>
      </c>
    </row>
    <row r="18" spans="2:10" x14ac:dyDescent="0.3">
      <c r="B18" s="19" t="s">
        <v>25</v>
      </c>
      <c r="C18" s="19"/>
      <c r="D18" s="21">
        <v>178</v>
      </c>
      <c r="F18" s="19"/>
      <c r="G18" s="22"/>
      <c r="I18" s="19" t="s">
        <v>31</v>
      </c>
      <c r="J18" s="25">
        <v>71.13795598182891</v>
      </c>
    </row>
    <row r="19" spans="2:10" x14ac:dyDescent="0.3">
      <c r="B19" s="19" t="s">
        <v>4</v>
      </c>
      <c r="C19" s="19"/>
      <c r="D19" s="20">
        <f>SUM(D17:D18)</f>
        <v>12096.803</v>
      </c>
      <c r="F19" s="62" t="s">
        <v>29</v>
      </c>
      <c r="G19" s="63">
        <v>84.924000000000007</v>
      </c>
      <c r="I19" s="19" t="s">
        <v>32</v>
      </c>
      <c r="J19" s="25">
        <v>78.358894284832886</v>
      </c>
    </row>
    <row r="20" spans="2:10" x14ac:dyDescent="0.3">
      <c r="B20" s="19" t="s">
        <v>26</v>
      </c>
      <c r="C20" s="19"/>
      <c r="D20" s="22">
        <f>D17/F15%</f>
        <v>84.931987016642495</v>
      </c>
      <c r="F20" s="62"/>
      <c r="G20" s="63"/>
    </row>
  </sheetData>
  <mergeCells count="2">
    <mergeCell ref="F19:F20"/>
    <mergeCell ref="G19:G20"/>
  </mergeCells>
  <pageMargins left="0.7" right="0.7" top="0.75" bottom="0.75" header="0.3" footer="0.3"/>
  <ignoredErrors>
    <ignoredError sqref="D1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6B49-4ACA-47FE-BD54-B9DF54A675DD}">
  <dimension ref="A2:J21"/>
  <sheetViews>
    <sheetView workbookViewId="0">
      <selection activeCell="G20" sqref="G20:G21"/>
    </sheetView>
  </sheetViews>
  <sheetFormatPr defaultRowHeight="14.4" x14ac:dyDescent="0.3"/>
  <cols>
    <col min="2" max="2" width="23.33203125" bestFit="1" customWidth="1"/>
    <col min="4" max="4" width="10" bestFit="1" customWidth="1"/>
    <col min="5" max="5" width="10" customWidth="1"/>
    <col min="6" max="6" width="12.88671875" bestFit="1" customWidth="1"/>
    <col min="7" max="7" width="12.44140625" bestFit="1" customWidth="1"/>
    <col min="8" max="8" width="10.88671875" bestFit="1" customWidth="1"/>
    <col min="10" max="10" width="21" bestFit="1" customWidth="1"/>
  </cols>
  <sheetData>
    <row r="2" spans="1:10" x14ac:dyDescent="0.3">
      <c r="A2" s="23" t="s">
        <v>1</v>
      </c>
      <c r="B2" s="24" t="s">
        <v>2</v>
      </c>
      <c r="C2" s="24" t="s">
        <v>3</v>
      </c>
      <c r="D2" s="19" t="s">
        <v>20</v>
      </c>
      <c r="E2" s="19" t="s">
        <v>22</v>
      </c>
      <c r="F2" s="19" t="s">
        <v>23</v>
      </c>
      <c r="G2" s="27" t="s">
        <v>34</v>
      </c>
      <c r="H2" s="19" t="s">
        <v>18</v>
      </c>
      <c r="I2" s="19" t="s">
        <v>19</v>
      </c>
      <c r="J2" s="19" t="s">
        <v>33</v>
      </c>
    </row>
    <row r="3" spans="1:10" x14ac:dyDescent="0.3">
      <c r="A3" s="5">
        <v>1</v>
      </c>
      <c r="B3" s="6" t="s">
        <v>5</v>
      </c>
      <c r="C3" s="7" t="s">
        <v>6</v>
      </c>
      <c r="D3" s="8">
        <v>2414.8627230550314</v>
      </c>
      <c r="E3" s="16">
        <v>896.92</v>
      </c>
      <c r="F3" s="16">
        <v>929</v>
      </c>
      <c r="G3" s="17">
        <v>0.18</v>
      </c>
      <c r="H3" s="17">
        <v>0.16</v>
      </c>
      <c r="I3" s="18">
        <f t="shared" ref="I3:I14" si="0">F3/F$16</f>
        <v>0.14901790941828477</v>
      </c>
      <c r="J3" s="28">
        <f>E3-D3</f>
        <v>-1517.9427230550314</v>
      </c>
    </row>
    <row r="4" spans="1:10" x14ac:dyDescent="0.3">
      <c r="A4" s="5">
        <v>2</v>
      </c>
      <c r="B4" s="6" t="s">
        <v>7</v>
      </c>
      <c r="C4" s="7" t="s">
        <v>6</v>
      </c>
      <c r="D4" s="8">
        <v>3756.4531247522718</v>
      </c>
      <c r="E4" s="16">
        <v>1677.78</v>
      </c>
      <c r="F4" s="16">
        <v>1637</v>
      </c>
      <c r="G4" s="17">
        <v>0.28000000000000003</v>
      </c>
      <c r="H4" s="18">
        <v>0.28999999999999998</v>
      </c>
      <c r="I4" s="18">
        <f t="shared" si="0"/>
        <v>0.26258591788776336</v>
      </c>
      <c r="J4" s="28">
        <f t="shared" ref="J4:J15" si="1">E4-D4</f>
        <v>-2078.6731247522721</v>
      </c>
    </row>
    <row r="5" spans="1:10" x14ac:dyDescent="0.3">
      <c r="A5" s="5">
        <v>3</v>
      </c>
      <c r="B5" s="9" t="s">
        <v>8</v>
      </c>
      <c r="C5" s="10" t="s">
        <v>6</v>
      </c>
      <c r="D5" s="8">
        <v>670.79520084861997</v>
      </c>
      <c r="E5" s="16">
        <v>300</v>
      </c>
      <c r="F5" s="16">
        <v>485</v>
      </c>
      <c r="G5" s="17">
        <v>0.05</v>
      </c>
      <c r="H5" s="18">
        <v>0.08</v>
      </c>
      <c r="I5" s="18">
        <f t="shared" si="0"/>
        <v>7.7797293937425321E-2</v>
      </c>
      <c r="J5" s="28">
        <f t="shared" si="1"/>
        <v>-370.79520084861997</v>
      </c>
    </row>
    <row r="6" spans="1:10" x14ac:dyDescent="0.3">
      <c r="A6" s="5">
        <v>4</v>
      </c>
      <c r="B6" s="6" t="s">
        <v>9</v>
      </c>
      <c r="C6" s="7" t="s">
        <v>6</v>
      </c>
      <c r="D6" s="8">
        <v>5500.5206469586828</v>
      </c>
      <c r="E6" s="16">
        <v>3178.76</v>
      </c>
      <c r="F6" s="16">
        <v>2544</v>
      </c>
      <c r="G6" s="17">
        <v>0.41</v>
      </c>
      <c r="H6" s="18">
        <v>0.4</v>
      </c>
      <c r="I6" s="18">
        <f t="shared" si="0"/>
        <v>0.40807487789032992</v>
      </c>
      <c r="J6" s="28">
        <f t="shared" si="1"/>
        <v>-2321.7606469586826</v>
      </c>
    </row>
    <row r="7" spans="1:10" x14ac:dyDescent="0.3">
      <c r="A7" s="5">
        <v>5</v>
      </c>
      <c r="B7" s="6" t="s">
        <v>10</v>
      </c>
      <c r="C7" s="7" t="s">
        <v>6</v>
      </c>
      <c r="D7" s="8">
        <v>0</v>
      </c>
      <c r="E7" s="16"/>
      <c r="F7" s="16">
        <v>27</v>
      </c>
      <c r="G7" s="17">
        <v>0</v>
      </c>
      <c r="H7" s="17"/>
      <c r="I7" s="18">
        <f t="shared" si="0"/>
        <v>4.3309833738360481E-3</v>
      </c>
      <c r="J7" s="28">
        <f t="shared" si="1"/>
        <v>0</v>
      </c>
    </row>
    <row r="8" spans="1:10" x14ac:dyDescent="0.3">
      <c r="A8" s="5">
        <v>6</v>
      </c>
      <c r="B8" s="6" t="s">
        <v>11</v>
      </c>
      <c r="C8" s="7" t="s">
        <v>6</v>
      </c>
      <c r="D8" s="8">
        <v>321.98169640733755</v>
      </c>
      <c r="E8" s="16">
        <v>43.2</v>
      </c>
      <c r="F8" s="16">
        <v>87</v>
      </c>
      <c r="G8" s="17">
        <v>0.02</v>
      </c>
      <c r="H8" s="18">
        <v>0.02</v>
      </c>
      <c r="I8" s="18">
        <f t="shared" si="0"/>
        <v>1.3955390871249489E-2</v>
      </c>
      <c r="J8" s="28">
        <f t="shared" si="1"/>
        <v>-278.78169640733756</v>
      </c>
    </row>
    <row r="9" spans="1:10" x14ac:dyDescent="0.3">
      <c r="A9" s="5">
        <v>7</v>
      </c>
      <c r="B9" s="6" t="s">
        <v>12</v>
      </c>
      <c r="C9" s="7" t="s">
        <v>6</v>
      </c>
      <c r="D9" s="8">
        <v>0</v>
      </c>
      <c r="E9" s="16"/>
      <c r="F9" s="16"/>
      <c r="G9" s="17">
        <v>0</v>
      </c>
      <c r="H9" s="19"/>
      <c r="I9" s="18">
        <f t="shared" si="0"/>
        <v>0</v>
      </c>
      <c r="J9" s="28">
        <f t="shared" si="1"/>
        <v>0</v>
      </c>
    </row>
    <row r="10" spans="1:10" x14ac:dyDescent="0.3">
      <c r="A10" s="5">
        <v>8</v>
      </c>
      <c r="B10" s="15" t="s">
        <v>21</v>
      </c>
      <c r="C10" s="7" t="s">
        <v>6</v>
      </c>
      <c r="D10" s="8">
        <v>0</v>
      </c>
      <c r="E10" s="16">
        <v>3.66</v>
      </c>
      <c r="F10" s="16">
        <v>15.15</v>
      </c>
      <c r="G10" s="19"/>
      <c r="H10" s="19"/>
      <c r="I10" s="18">
        <f t="shared" si="0"/>
        <v>2.4301628930968938E-3</v>
      </c>
      <c r="J10" s="28">
        <f t="shared" si="1"/>
        <v>3.66</v>
      </c>
    </row>
    <row r="11" spans="1:10" x14ac:dyDescent="0.3">
      <c r="A11" s="5">
        <v>9</v>
      </c>
      <c r="B11" s="6" t="s">
        <v>13</v>
      </c>
      <c r="C11" s="7" t="s">
        <v>6</v>
      </c>
      <c r="D11" s="8">
        <v>185.99994535685491</v>
      </c>
      <c r="E11" s="16">
        <v>140.47</v>
      </c>
      <c r="F11" s="16">
        <v>122</v>
      </c>
      <c r="G11" s="17">
        <v>1.9E-2</v>
      </c>
      <c r="H11" s="17">
        <v>0.02</v>
      </c>
      <c r="I11" s="18">
        <f t="shared" si="0"/>
        <v>1.9569628578073997E-2</v>
      </c>
      <c r="J11" s="28">
        <f t="shared" si="1"/>
        <v>-45.52994535685491</v>
      </c>
    </row>
    <row r="12" spans="1:10" x14ac:dyDescent="0.3">
      <c r="A12" s="5">
        <v>10</v>
      </c>
      <c r="B12" s="6" t="s">
        <v>35</v>
      </c>
      <c r="C12" s="7" t="s">
        <v>6</v>
      </c>
      <c r="D12" s="8">
        <v>0</v>
      </c>
      <c r="E12" s="16"/>
      <c r="F12" s="16">
        <v>187</v>
      </c>
      <c r="G12" s="17"/>
      <c r="H12" s="17"/>
      <c r="I12" s="18">
        <f t="shared" si="0"/>
        <v>2.9996070033605226E-2</v>
      </c>
      <c r="J12" s="28"/>
    </row>
    <row r="13" spans="1:10" x14ac:dyDescent="0.3">
      <c r="A13" s="5">
        <v>11</v>
      </c>
      <c r="B13" s="12" t="s">
        <v>14</v>
      </c>
      <c r="C13" s="7" t="s">
        <v>6</v>
      </c>
      <c r="D13" s="8">
        <v>13.415904016972398</v>
      </c>
      <c r="E13" s="16"/>
      <c r="F13" s="16"/>
      <c r="G13" s="19"/>
      <c r="H13" s="19"/>
      <c r="I13" s="18">
        <f t="shared" si="0"/>
        <v>0</v>
      </c>
      <c r="J13" s="28">
        <f t="shared" si="1"/>
        <v>-13.415904016972398</v>
      </c>
    </row>
    <row r="14" spans="1:10" x14ac:dyDescent="0.3">
      <c r="A14" s="5">
        <v>12</v>
      </c>
      <c r="B14" s="13" t="s">
        <v>15</v>
      </c>
      <c r="C14" s="7" t="s">
        <v>6</v>
      </c>
      <c r="D14" s="8">
        <v>482.9725446110063</v>
      </c>
      <c r="E14" s="16">
        <v>194.59</v>
      </c>
      <c r="F14" s="16">
        <v>201</v>
      </c>
      <c r="G14" s="26">
        <v>3.6000000000000004E-2</v>
      </c>
      <c r="H14" s="17">
        <v>0.03</v>
      </c>
      <c r="I14" s="18">
        <f t="shared" si="0"/>
        <v>3.2241765116335031E-2</v>
      </c>
      <c r="J14" s="28">
        <f t="shared" si="1"/>
        <v>-288.38254461100632</v>
      </c>
    </row>
    <row r="15" spans="1:10" x14ac:dyDescent="0.3">
      <c r="A15" s="5">
        <v>13</v>
      </c>
      <c r="B15" s="14" t="s">
        <v>17</v>
      </c>
      <c r="C15" s="7" t="s">
        <v>6</v>
      </c>
      <c r="D15" s="8">
        <v>147.295790040725</v>
      </c>
      <c r="E15" s="16">
        <v>70</v>
      </c>
      <c r="F15" s="16">
        <v>67.2</v>
      </c>
      <c r="G15" s="19"/>
      <c r="H15" s="19"/>
      <c r="I15" s="18"/>
      <c r="J15" s="28">
        <f t="shared" si="1"/>
        <v>-77.295790040724995</v>
      </c>
    </row>
    <row r="16" spans="1:10" x14ac:dyDescent="0.3">
      <c r="A16" s="5"/>
      <c r="B16" s="6" t="s">
        <v>16</v>
      </c>
      <c r="C16" s="7" t="s">
        <v>6</v>
      </c>
      <c r="D16" s="20">
        <f>SUM(D3:D14)</f>
        <v>13347.001786006778</v>
      </c>
      <c r="E16" s="20">
        <f>SUM(E3:E15)</f>
        <v>6505.38</v>
      </c>
      <c r="F16" s="20">
        <f>SUM(F3:F14)</f>
        <v>6234.15</v>
      </c>
      <c r="G16" s="19"/>
      <c r="H16" s="19"/>
      <c r="I16" s="19"/>
      <c r="J16" s="28">
        <f>E16-D16</f>
        <v>-6841.6217860067782</v>
      </c>
    </row>
    <row r="18" spans="2:10" x14ac:dyDescent="0.3">
      <c r="B18" s="19" t="s">
        <v>24</v>
      </c>
      <c r="C18" s="19"/>
      <c r="D18" s="21">
        <v>5283.317</v>
      </c>
      <c r="F18" s="19" t="s">
        <v>28</v>
      </c>
      <c r="G18" s="8">
        <v>11828</v>
      </c>
      <c r="I18" s="19" t="s">
        <v>30</v>
      </c>
      <c r="J18" s="25">
        <v>77.958284340020739</v>
      </c>
    </row>
    <row r="19" spans="2:10" x14ac:dyDescent="0.3">
      <c r="B19" s="19" t="s">
        <v>25</v>
      </c>
      <c r="C19" s="19"/>
      <c r="D19" s="21">
        <v>41.3</v>
      </c>
      <c r="F19" s="19"/>
      <c r="G19" s="22"/>
      <c r="I19" s="19" t="s">
        <v>31</v>
      </c>
      <c r="J19" s="25">
        <v>69.997339422019252</v>
      </c>
    </row>
    <row r="20" spans="2:10" x14ac:dyDescent="0.3">
      <c r="B20" s="19" t="s">
        <v>4</v>
      </c>
      <c r="C20" s="19"/>
      <c r="D20" s="20">
        <f>SUM(D18:D19)</f>
        <v>5324.6170000000002</v>
      </c>
      <c r="F20" s="62" t="s">
        <v>29</v>
      </c>
      <c r="G20" s="63">
        <v>84.924000000000007</v>
      </c>
      <c r="I20" s="19" t="s">
        <v>32</v>
      </c>
      <c r="J20" s="25">
        <v>78.239674218436434</v>
      </c>
    </row>
    <row r="21" spans="2:10" x14ac:dyDescent="0.3">
      <c r="B21" s="19" t="s">
        <v>26</v>
      </c>
      <c r="C21" s="19"/>
      <c r="D21" s="22">
        <f>D18/F16%</f>
        <v>84.747992910019818</v>
      </c>
      <c r="F21" s="62"/>
      <c r="G21" s="63"/>
    </row>
  </sheetData>
  <mergeCells count="2">
    <mergeCell ref="F20:F21"/>
    <mergeCell ref="G20:G21"/>
  </mergeCells>
  <pageMargins left="0.7" right="0.7" top="0.75" bottom="0.75" header="0.3" footer="0.3"/>
  <ignoredErrors>
    <ignoredError sqref="E16" formula="1"/>
    <ignoredError sqref="D1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4DEF-0CC9-421C-8971-3746527D61A5}">
  <dimension ref="A2:J20"/>
  <sheetViews>
    <sheetView workbookViewId="0">
      <selection activeCell="E25" sqref="E25"/>
    </sheetView>
  </sheetViews>
  <sheetFormatPr defaultRowHeight="14.4" x14ac:dyDescent="0.3"/>
  <cols>
    <col min="2" max="2" width="23.33203125" bestFit="1" customWidth="1"/>
    <col min="4" max="4" width="10" bestFit="1" customWidth="1"/>
    <col min="5" max="5" width="10" customWidth="1"/>
    <col min="6" max="6" width="12.88671875" bestFit="1" customWidth="1"/>
    <col min="7" max="7" width="12.44140625" bestFit="1" customWidth="1"/>
    <col min="8" max="8" width="10.88671875" bestFit="1" customWidth="1"/>
    <col min="10" max="10" width="21" bestFit="1" customWidth="1"/>
  </cols>
  <sheetData>
    <row r="2" spans="1:10" x14ac:dyDescent="0.3">
      <c r="A2" s="23" t="s">
        <v>1</v>
      </c>
      <c r="B2" s="24" t="s">
        <v>2</v>
      </c>
      <c r="C2" s="24" t="s">
        <v>3</v>
      </c>
      <c r="D2" s="19" t="s">
        <v>20</v>
      </c>
      <c r="E2" s="19" t="s">
        <v>22</v>
      </c>
      <c r="F2" s="19" t="s">
        <v>23</v>
      </c>
      <c r="G2" s="27" t="s">
        <v>34</v>
      </c>
      <c r="H2" s="19" t="s">
        <v>18</v>
      </c>
      <c r="I2" s="19" t="s">
        <v>19</v>
      </c>
      <c r="J2" s="19" t="s">
        <v>33</v>
      </c>
    </row>
    <row r="3" spans="1:10" x14ac:dyDescent="0.3">
      <c r="A3" s="5">
        <v>1</v>
      </c>
      <c r="B3" s="6" t="s">
        <v>5</v>
      </c>
      <c r="C3" s="7" t="s">
        <v>6</v>
      </c>
      <c r="D3" s="8">
        <v>2373.9328463930819</v>
      </c>
      <c r="E3" s="16">
        <v>1893.6</v>
      </c>
      <c r="F3" s="16">
        <v>1876</v>
      </c>
      <c r="G3" s="17">
        <v>0.18</v>
      </c>
      <c r="H3" s="17">
        <v>0.16</v>
      </c>
      <c r="I3" s="18">
        <f t="shared" ref="I3:I13" si="0">F3/F$15</f>
        <v>0.13755097671458466</v>
      </c>
      <c r="J3" s="28">
        <f>E3-D3</f>
        <v>-480.33284639308204</v>
      </c>
    </row>
    <row r="4" spans="1:10" x14ac:dyDescent="0.3">
      <c r="A4" s="5">
        <v>2</v>
      </c>
      <c r="B4" s="6" t="s">
        <v>7</v>
      </c>
      <c r="C4" s="7" t="s">
        <v>6</v>
      </c>
      <c r="D4" s="8">
        <v>3692.7844277225722</v>
      </c>
      <c r="E4" s="16">
        <v>3416.89</v>
      </c>
      <c r="F4" s="16">
        <v>3354</v>
      </c>
      <c r="G4" s="17">
        <v>0.28000000000000003</v>
      </c>
      <c r="H4" s="18">
        <v>0.22500000000000001</v>
      </c>
      <c r="I4" s="18">
        <f t="shared" si="0"/>
        <v>0.24592002979782354</v>
      </c>
      <c r="J4" s="28">
        <f t="shared" ref="J4:J14" si="1">E4-D4</f>
        <v>-275.89442772257235</v>
      </c>
    </row>
    <row r="5" spans="1:10" x14ac:dyDescent="0.3">
      <c r="A5" s="5">
        <v>3</v>
      </c>
      <c r="B5" s="9" t="s">
        <v>8</v>
      </c>
      <c r="C5" s="10" t="s">
        <v>6</v>
      </c>
      <c r="D5" s="8">
        <v>659.42579066474502</v>
      </c>
      <c r="E5" s="16">
        <v>1722.94</v>
      </c>
      <c r="F5" s="16">
        <v>1443</v>
      </c>
      <c r="G5" s="17">
        <v>0.05</v>
      </c>
      <c r="H5" s="18">
        <v>0.105</v>
      </c>
      <c r="I5" s="18">
        <f t="shared" si="0"/>
        <v>0.10580280351766826</v>
      </c>
      <c r="J5" s="28">
        <f t="shared" si="1"/>
        <v>1063.5142093352551</v>
      </c>
    </row>
    <row r="6" spans="1:10" x14ac:dyDescent="0.3">
      <c r="A6" s="5">
        <v>4</v>
      </c>
      <c r="B6" s="6" t="s">
        <v>9</v>
      </c>
      <c r="C6" s="7" t="s">
        <v>6</v>
      </c>
      <c r="D6" s="8">
        <v>5407.2914834509083</v>
      </c>
      <c r="E6" s="16">
        <v>5616.2</v>
      </c>
      <c r="F6" s="16">
        <v>6178</v>
      </c>
      <c r="G6" s="17">
        <v>0.41</v>
      </c>
      <c r="H6" s="17">
        <v>0.46</v>
      </c>
      <c r="I6" s="18">
        <f t="shared" si="0"/>
        <v>0.45297970903129214</v>
      </c>
      <c r="J6" s="28">
        <f t="shared" si="1"/>
        <v>208.90851654909147</v>
      </c>
    </row>
    <row r="7" spans="1:10" x14ac:dyDescent="0.3">
      <c r="A7" s="5">
        <v>5</v>
      </c>
      <c r="B7" s="6" t="s">
        <v>10</v>
      </c>
      <c r="C7" s="7" t="s">
        <v>6</v>
      </c>
      <c r="D7" s="8">
        <v>0</v>
      </c>
      <c r="E7" s="16"/>
      <c r="F7" s="16">
        <v>15</v>
      </c>
      <c r="G7" s="17">
        <v>0</v>
      </c>
      <c r="H7" s="17"/>
      <c r="I7" s="18">
        <f t="shared" si="0"/>
        <v>1.0998212423874039E-3</v>
      </c>
      <c r="J7" s="28">
        <f t="shared" si="1"/>
        <v>0</v>
      </c>
    </row>
    <row r="8" spans="1:10" x14ac:dyDescent="0.3">
      <c r="A8" s="5">
        <v>6</v>
      </c>
      <c r="B8" s="6" t="s">
        <v>11</v>
      </c>
      <c r="C8" s="7" t="s">
        <v>6</v>
      </c>
      <c r="D8" s="8">
        <v>316.52437951907763</v>
      </c>
      <c r="E8" s="16">
        <v>90.78</v>
      </c>
      <c r="F8" s="16">
        <v>118</v>
      </c>
      <c r="G8" s="17">
        <v>0.02</v>
      </c>
      <c r="H8" s="19"/>
      <c r="I8" s="18">
        <f t="shared" si="0"/>
        <v>8.6519271067809107E-3</v>
      </c>
      <c r="J8" s="28">
        <f t="shared" si="1"/>
        <v>-225.74437951907763</v>
      </c>
    </row>
    <row r="9" spans="1:10" x14ac:dyDescent="0.3">
      <c r="A9" s="5">
        <v>7</v>
      </c>
      <c r="B9" s="6" t="s">
        <v>12</v>
      </c>
      <c r="C9" s="7" t="s">
        <v>6</v>
      </c>
      <c r="D9" s="8">
        <v>0</v>
      </c>
      <c r="E9" s="16"/>
      <c r="F9" s="16"/>
      <c r="G9" s="17">
        <v>0</v>
      </c>
      <c r="H9" s="19"/>
      <c r="I9" s="18">
        <f t="shared" si="0"/>
        <v>0</v>
      </c>
      <c r="J9" s="28">
        <f t="shared" si="1"/>
        <v>0</v>
      </c>
    </row>
    <row r="10" spans="1:10" x14ac:dyDescent="0.3">
      <c r="A10" s="5">
        <v>8</v>
      </c>
      <c r="B10" s="15" t="s">
        <v>21</v>
      </c>
      <c r="C10" s="7" t="s">
        <v>6</v>
      </c>
      <c r="D10" s="8">
        <v>0</v>
      </c>
      <c r="E10" s="16">
        <v>19.350000000000001</v>
      </c>
      <c r="F10" s="16">
        <v>14.58</v>
      </c>
      <c r="G10" s="19"/>
      <c r="H10" s="19"/>
      <c r="I10" s="18">
        <f t="shared" si="0"/>
        <v>1.0690262476005566E-3</v>
      </c>
      <c r="J10" s="28">
        <f t="shared" si="1"/>
        <v>19.350000000000001</v>
      </c>
    </row>
    <row r="11" spans="1:10" x14ac:dyDescent="0.3">
      <c r="A11" s="5">
        <v>9</v>
      </c>
      <c r="B11" s="6" t="s">
        <v>13</v>
      </c>
      <c r="C11" s="7" t="s">
        <v>6</v>
      </c>
      <c r="D11" s="8">
        <v>182.84740391012846</v>
      </c>
      <c r="E11" s="16">
        <v>233.96</v>
      </c>
      <c r="F11" s="16">
        <v>210</v>
      </c>
      <c r="G11" s="17">
        <v>1.9E-2</v>
      </c>
      <c r="H11" s="17">
        <v>0.02</v>
      </c>
      <c r="I11" s="18">
        <f t="shared" si="0"/>
        <v>1.5397497393423656E-2</v>
      </c>
      <c r="J11" s="28">
        <f t="shared" si="1"/>
        <v>51.112596089871545</v>
      </c>
    </row>
    <row r="12" spans="1:10" x14ac:dyDescent="0.3">
      <c r="A12" s="5">
        <v>10</v>
      </c>
      <c r="B12" s="12" t="s">
        <v>14</v>
      </c>
      <c r="C12" s="7" t="s">
        <v>6</v>
      </c>
      <c r="D12" s="8">
        <v>13.188515813294901</v>
      </c>
      <c r="E12" s="16"/>
      <c r="F12" s="16"/>
      <c r="G12" s="19"/>
      <c r="H12" s="19"/>
      <c r="I12" s="18">
        <f t="shared" si="0"/>
        <v>0</v>
      </c>
      <c r="J12" s="28">
        <f t="shared" si="1"/>
        <v>-13.188515813294901</v>
      </c>
    </row>
    <row r="13" spans="1:10" x14ac:dyDescent="0.3">
      <c r="A13" s="5">
        <v>11</v>
      </c>
      <c r="B13" s="13" t="s">
        <v>15</v>
      </c>
      <c r="C13" s="7" t="s">
        <v>6</v>
      </c>
      <c r="D13" s="8">
        <v>474.78656927861635</v>
      </c>
      <c r="E13" s="16">
        <v>395.44</v>
      </c>
      <c r="F13" s="16">
        <v>430</v>
      </c>
      <c r="G13" s="26">
        <v>3.6000000000000004E-2</v>
      </c>
      <c r="H13" s="17">
        <v>0.03</v>
      </c>
      <c r="I13" s="18">
        <f t="shared" si="0"/>
        <v>3.1528208948438913E-2</v>
      </c>
      <c r="J13" s="28">
        <f t="shared" si="1"/>
        <v>-79.346569278616357</v>
      </c>
    </row>
    <row r="14" spans="1:10" x14ac:dyDescent="0.3">
      <c r="A14" s="5">
        <v>12</v>
      </c>
      <c r="B14" s="14" t="s">
        <v>17</v>
      </c>
      <c r="C14" s="7" t="s">
        <v>6</v>
      </c>
      <c r="D14" s="8">
        <v>144.8331495315602</v>
      </c>
      <c r="E14" s="16">
        <v>140</v>
      </c>
      <c r="F14" s="16">
        <v>147.80000000000001</v>
      </c>
      <c r="G14" s="19"/>
      <c r="H14" s="19"/>
      <c r="I14" s="18"/>
      <c r="J14" s="28">
        <f t="shared" si="1"/>
        <v>-4.8331495315601956</v>
      </c>
    </row>
    <row r="15" spans="1:10" x14ac:dyDescent="0.3">
      <c r="A15" s="5"/>
      <c r="B15" s="6" t="s">
        <v>16</v>
      </c>
      <c r="C15" s="7" t="s">
        <v>6</v>
      </c>
      <c r="D15" s="20">
        <f>SUM(D3:D14)</f>
        <v>13265.614566283986</v>
      </c>
      <c r="E15" s="20">
        <f>SUM(E3:E13)</f>
        <v>13389.160000000002</v>
      </c>
      <c r="F15" s="20">
        <f>SUM(F3:F13)</f>
        <v>13638.58</v>
      </c>
      <c r="G15" s="19"/>
      <c r="H15" s="19"/>
      <c r="I15" s="19"/>
      <c r="J15" s="28">
        <f>E15-D15</f>
        <v>123.5454337160154</v>
      </c>
    </row>
    <row r="17" spans="2:10" x14ac:dyDescent="0.3">
      <c r="B17" s="19" t="s">
        <v>24</v>
      </c>
      <c r="C17" s="19"/>
      <c r="D17" s="21">
        <v>11620.513999999999</v>
      </c>
      <c r="F17" s="19" t="s">
        <v>28</v>
      </c>
      <c r="G17" s="8">
        <v>11246.704687524425</v>
      </c>
      <c r="I17" s="19" t="s">
        <v>30</v>
      </c>
      <c r="J17" s="25">
        <v>78.032511260239573</v>
      </c>
    </row>
    <row r="18" spans="2:10" x14ac:dyDescent="0.3">
      <c r="B18" s="19" t="s">
        <v>25</v>
      </c>
      <c r="C18" s="19"/>
      <c r="D18" s="21">
        <v>108.98</v>
      </c>
      <c r="F18" s="19"/>
      <c r="G18" s="22"/>
      <c r="I18" s="19" t="s">
        <v>31</v>
      </c>
      <c r="J18" s="25">
        <v>71.208061801339568</v>
      </c>
    </row>
    <row r="19" spans="2:10" x14ac:dyDescent="0.3">
      <c r="B19" s="19" t="s">
        <v>4</v>
      </c>
      <c r="C19" s="19"/>
      <c r="D19" s="20">
        <f>SUM(D17:D18)</f>
        <v>11729.493999999999</v>
      </c>
      <c r="F19" s="62" t="s">
        <v>29</v>
      </c>
      <c r="G19" s="63">
        <v>85.06</v>
      </c>
      <c r="I19" s="19" t="s">
        <v>32</v>
      </c>
      <c r="J19" s="25">
        <v>78.404066962399668</v>
      </c>
    </row>
    <row r="20" spans="2:10" x14ac:dyDescent="0.3">
      <c r="B20" s="19" t="s">
        <v>26</v>
      </c>
      <c r="C20" s="19"/>
      <c r="D20" s="22">
        <f>D17/F15%</f>
        <v>85.203254297734816</v>
      </c>
      <c r="F20" s="62"/>
      <c r="G20" s="63"/>
    </row>
  </sheetData>
  <mergeCells count="2">
    <mergeCell ref="F19:F20"/>
    <mergeCell ref="G19:G20"/>
  </mergeCells>
  <pageMargins left="0.7" right="0.7" top="0.75" bottom="0.75" header="0.3" footer="0.3"/>
  <ignoredErrors>
    <ignoredError sqref="E15:F1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3FB8-5C10-4294-A5B0-6E6E1C8993E0}">
  <sheetPr>
    <pageSetUpPr fitToPage="1"/>
  </sheetPr>
  <dimension ref="A1:K18"/>
  <sheetViews>
    <sheetView tabSelected="1" workbookViewId="0">
      <selection activeCell="J21" sqref="J21"/>
    </sheetView>
  </sheetViews>
  <sheetFormatPr defaultRowHeight="14.4" x14ac:dyDescent="0.3"/>
  <cols>
    <col min="2" max="2" width="22.5546875" bestFit="1" customWidth="1"/>
    <col min="3" max="3" width="4.88671875" bestFit="1" customWidth="1"/>
    <col min="9" max="9" width="11.88671875" bestFit="1" customWidth="1"/>
  </cols>
  <sheetData>
    <row r="1" spans="1:11" ht="15" thickBot="1" x14ac:dyDescent="0.35">
      <c r="A1" s="64" t="s">
        <v>50</v>
      </c>
      <c r="B1" s="65"/>
      <c r="C1" s="65"/>
      <c r="D1" s="65"/>
      <c r="E1" s="65"/>
      <c r="F1" s="65"/>
      <c r="G1" s="65"/>
      <c r="H1" s="65"/>
      <c r="I1" s="65"/>
      <c r="J1" s="66"/>
    </row>
    <row r="2" spans="1:11" x14ac:dyDescent="0.3">
      <c r="A2" s="49" t="s">
        <v>1</v>
      </c>
      <c r="B2" s="50" t="s">
        <v>2</v>
      </c>
      <c r="C2" s="50" t="s">
        <v>3</v>
      </c>
      <c r="D2" s="51" t="s">
        <v>37</v>
      </c>
      <c r="E2" s="51" t="s">
        <v>38</v>
      </c>
      <c r="F2" s="51" t="s">
        <v>39</v>
      </c>
      <c r="G2" s="51" t="s">
        <v>40</v>
      </c>
      <c r="H2" s="51" t="s">
        <v>41</v>
      </c>
      <c r="I2" s="51" t="s">
        <v>42</v>
      </c>
      <c r="J2" s="52" t="s">
        <v>43</v>
      </c>
    </row>
    <row r="3" spans="1:11" x14ac:dyDescent="0.3">
      <c r="A3" s="37">
        <v>1</v>
      </c>
      <c r="B3" s="6" t="s">
        <v>5</v>
      </c>
      <c r="C3" s="24" t="s">
        <v>6</v>
      </c>
      <c r="D3" s="19">
        <v>530.78</v>
      </c>
      <c r="E3" s="19">
        <f>April!E3+May!E3+June!E3</f>
        <v>4800.26</v>
      </c>
      <c r="F3" s="19">
        <f>D3+E3</f>
        <v>5331.04</v>
      </c>
      <c r="G3" s="19">
        <f>April!F3+May!F3+June!F3</f>
        <v>5009</v>
      </c>
      <c r="H3" s="19">
        <f>F3-G3</f>
        <v>322.03999999999996</v>
      </c>
      <c r="I3" s="18">
        <f>AVERAGE(April!H3,May!H3,June!H3)</f>
        <v>0.16</v>
      </c>
      <c r="J3" s="38">
        <f>G3/G$13</f>
        <v>0.14944173413274267</v>
      </c>
      <c r="K3">
        <v>78.3</v>
      </c>
    </row>
    <row r="4" spans="1:11" x14ac:dyDescent="0.3">
      <c r="A4" s="37">
        <v>2</v>
      </c>
      <c r="B4" s="6" t="s">
        <v>7</v>
      </c>
      <c r="C4" s="24" t="s">
        <v>6</v>
      </c>
      <c r="D4" s="19">
        <v>88.23</v>
      </c>
      <c r="E4" s="19">
        <f>April!E4+May!E4+June!E4</f>
        <v>8698.630000000001</v>
      </c>
      <c r="F4" s="19">
        <f t="shared" ref="F4:F13" si="0">D4+E4</f>
        <v>8786.86</v>
      </c>
      <c r="G4" s="19">
        <f>April!F4+May!F4+June!F4</f>
        <v>8605</v>
      </c>
      <c r="H4" s="19">
        <f t="shared" ref="H4:H12" si="1">F4-G4</f>
        <v>181.86000000000058</v>
      </c>
      <c r="I4" s="18">
        <f>AVERAGE(April!H4,May!H4,June!H4)</f>
        <v>0.26683333333333331</v>
      </c>
      <c r="J4" s="38">
        <f t="shared" ref="J4:J11" si="2">G4/G$13</f>
        <v>0.25672711563430839</v>
      </c>
      <c r="K4">
        <v>79</v>
      </c>
    </row>
    <row r="5" spans="1:11" x14ac:dyDescent="0.3">
      <c r="A5" s="37">
        <v>3</v>
      </c>
      <c r="B5" s="9" t="s">
        <v>8</v>
      </c>
      <c r="C5" s="23" t="s">
        <v>6</v>
      </c>
      <c r="D5" s="19">
        <v>20.41</v>
      </c>
      <c r="E5" s="19">
        <f>April!E5+May!E5+June!E5</f>
        <v>3328.31</v>
      </c>
      <c r="F5" s="19">
        <f t="shared" si="0"/>
        <v>3348.72</v>
      </c>
      <c r="G5" s="19">
        <f>April!F5+May!F5+June!F5</f>
        <v>3134</v>
      </c>
      <c r="H5" s="19">
        <f t="shared" si="1"/>
        <v>214.7199999999998</v>
      </c>
      <c r="I5" s="18">
        <f>AVERAGE(April!H5,May!H5,June!H5)</f>
        <v>8.896666666666668E-2</v>
      </c>
      <c r="J5" s="38">
        <f t="shared" si="2"/>
        <v>9.3501775758038641E-2</v>
      </c>
      <c r="K5">
        <v>71.3</v>
      </c>
    </row>
    <row r="6" spans="1:11" x14ac:dyDescent="0.3">
      <c r="A6" s="37">
        <v>4</v>
      </c>
      <c r="B6" s="6" t="s">
        <v>9</v>
      </c>
      <c r="C6" s="24" t="s">
        <v>6</v>
      </c>
      <c r="D6" s="19">
        <v>679.18899999999996</v>
      </c>
      <c r="E6" s="19">
        <f>April!E6+May!E6+June!E6</f>
        <v>14926.38</v>
      </c>
      <c r="F6" s="19">
        <f t="shared" si="0"/>
        <v>15605.569</v>
      </c>
      <c r="G6" s="19">
        <f>April!F6+May!F6+June!F6</f>
        <v>14684</v>
      </c>
      <c r="H6" s="19">
        <f t="shared" si="1"/>
        <v>921.56899999999951</v>
      </c>
      <c r="I6" s="18">
        <f>AVERAGE(April!H6,May!H6,June!H6)</f>
        <v>0.42149999999999999</v>
      </c>
      <c r="J6" s="38">
        <f t="shared" si="2"/>
        <v>0.4380919193462155</v>
      </c>
    </row>
    <row r="7" spans="1:11" x14ac:dyDescent="0.3">
      <c r="A7" s="37">
        <v>5</v>
      </c>
      <c r="B7" s="6" t="s">
        <v>46</v>
      </c>
      <c r="C7" s="24" t="s">
        <v>6</v>
      </c>
      <c r="D7" s="19">
        <v>34.479999999999997</v>
      </c>
      <c r="E7" s="19">
        <f>April!E7+May!E7+June!E7</f>
        <v>0</v>
      </c>
      <c r="F7" s="19">
        <f t="shared" si="0"/>
        <v>34.479999999999997</v>
      </c>
      <c r="G7" s="19">
        <v>0</v>
      </c>
      <c r="H7" s="19">
        <f t="shared" si="1"/>
        <v>34.479999999999997</v>
      </c>
      <c r="I7" s="18">
        <v>0</v>
      </c>
      <c r="J7" s="38">
        <f t="shared" si="2"/>
        <v>0</v>
      </c>
    </row>
    <row r="8" spans="1:11" x14ac:dyDescent="0.3">
      <c r="A8" s="37">
        <v>7</v>
      </c>
      <c r="B8" s="6" t="s">
        <v>44</v>
      </c>
      <c r="C8" s="24" t="s">
        <v>47</v>
      </c>
      <c r="D8" s="19">
        <v>155.80000000000001</v>
      </c>
      <c r="E8" s="19">
        <v>0</v>
      </c>
      <c r="F8" s="19">
        <f>D8+E8</f>
        <v>155.80000000000001</v>
      </c>
      <c r="G8" s="19">
        <v>50</v>
      </c>
      <c r="H8" s="19">
        <f>F8-G8</f>
        <v>105.80000000000001</v>
      </c>
      <c r="I8" s="18">
        <v>0</v>
      </c>
      <c r="J8" s="38">
        <f t="shared" si="2"/>
        <v>1.491732223325441E-3</v>
      </c>
    </row>
    <row r="9" spans="1:11" x14ac:dyDescent="0.3">
      <c r="A9" s="37">
        <v>8</v>
      </c>
      <c r="B9" s="6" t="s">
        <v>45</v>
      </c>
      <c r="C9" s="24" t="s">
        <v>6</v>
      </c>
      <c r="D9" s="19">
        <v>258.875</v>
      </c>
      <c r="E9" s="19">
        <f>April!E8+May!E8+June!E8</f>
        <v>218.95</v>
      </c>
      <c r="F9" s="19">
        <f t="shared" si="0"/>
        <v>477.82499999999999</v>
      </c>
      <c r="G9" s="19">
        <f>April!F8+May!F8+June!F8</f>
        <v>429</v>
      </c>
      <c r="H9" s="19">
        <f t="shared" si="1"/>
        <v>48.824999999999989</v>
      </c>
      <c r="I9" s="18">
        <f>AVERAGE(May!H8,June!H8)</f>
        <v>1.9050000000000001E-2</v>
      </c>
      <c r="J9" s="38">
        <f t="shared" si="2"/>
        <v>1.2799062476132285E-2</v>
      </c>
    </row>
    <row r="10" spans="1:11" x14ac:dyDescent="0.3">
      <c r="A10" s="37">
        <v>9</v>
      </c>
      <c r="B10" s="33" t="s">
        <v>21</v>
      </c>
      <c r="C10" s="24" t="s">
        <v>6</v>
      </c>
      <c r="D10" s="19">
        <v>14.58</v>
      </c>
      <c r="E10" s="19">
        <f>April!E10+May!E10+June!E10</f>
        <v>38.159999999999997</v>
      </c>
      <c r="F10" s="19">
        <f t="shared" si="0"/>
        <v>52.739999999999995</v>
      </c>
      <c r="G10" s="19">
        <f>April!F10+May!F10+June!F10</f>
        <v>49.08</v>
      </c>
      <c r="H10" s="19">
        <f t="shared" si="1"/>
        <v>3.6599999999999966</v>
      </c>
      <c r="I10" s="18">
        <v>0</v>
      </c>
      <c r="J10" s="38">
        <f t="shared" si="2"/>
        <v>1.4642843504162528E-3</v>
      </c>
    </row>
    <row r="11" spans="1:11" x14ac:dyDescent="0.3">
      <c r="A11" s="37">
        <v>10</v>
      </c>
      <c r="B11" s="6" t="s">
        <v>13</v>
      </c>
      <c r="C11" s="24" t="s">
        <v>6</v>
      </c>
      <c r="D11" s="19">
        <v>18.34</v>
      </c>
      <c r="E11" s="19">
        <f>April!E11+May!E11+June!E11</f>
        <v>624.99</v>
      </c>
      <c r="F11" s="19">
        <f t="shared" si="0"/>
        <v>643.33000000000004</v>
      </c>
      <c r="G11" s="19">
        <f>April!F11+May!F11+June!F11</f>
        <v>623</v>
      </c>
      <c r="H11" s="19">
        <f t="shared" si="1"/>
        <v>20.330000000000041</v>
      </c>
      <c r="I11" s="18">
        <v>0.02</v>
      </c>
      <c r="J11" s="38">
        <f t="shared" si="2"/>
        <v>1.8586983502634994E-2</v>
      </c>
    </row>
    <row r="12" spans="1:11" x14ac:dyDescent="0.3">
      <c r="A12" s="37">
        <v>11</v>
      </c>
      <c r="B12" s="13" t="s">
        <v>15</v>
      </c>
      <c r="C12" s="24" t="s">
        <v>6</v>
      </c>
      <c r="D12" s="19">
        <v>83.47</v>
      </c>
      <c r="E12" s="19">
        <f>April!E13+May!E13+June!E13</f>
        <v>922.8599999999999</v>
      </c>
      <c r="F12" s="19">
        <f t="shared" si="0"/>
        <v>1006.3299999999999</v>
      </c>
      <c r="G12" s="19">
        <f>April!F13+May!F13+June!F13</f>
        <v>935</v>
      </c>
      <c r="H12" s="19">
        <f t="shared" si="1"/>
        <v>71.329999999999927</v>
      </c>
      <c r="I12" s="18">
        <f>AVERAGE(April!H13,May!H13,June!H14)</f>
        <v>0.03</v>
      </c>
      <c r="J12" s="38">
        <f>G12/G$13</f>
        <v>2.7895392576185746E-2</v>
      </c>
    </row>
    <row r="13" spans="1:11" ht="15" thickBot="1" x14ac:dyDescent="0.35">
      <c r="A13" s="39"/>
      <c r="B13" s="40" t="s">
        <v>16</v>
      </c>
      <c r="C13" s="41" t="s">
        <v>6</v>
      </c>
      <c r="D13" s="42">
        <f>SUM(D3:D12)</f>
        <v>1884.1539999999998</v>
      </c>
      <c r="E13" s="42">
        <f>SUM(E3:E12)</f>
        <v>33558.54</v>
      </c>
      <c r="F13" s="42">
        <f t="shared" si="0"/>
        <v>35442.694000000003</v>
      </c>
      <c r="G13" s="42">
        <f>SUM(G3:G12)</f>
        <v>33518.080000000002</v>
      </c>
      <c r="H13" s="42">
        <f>F13-G13</f>
        <v>1924.6140000000014</v>
      </c>
      <c r="I13" s="42"/>
      <c r="J13" s="43"/>
    </row>
    <row r="14" spans="1:11" ht="15" thickBot="1" x14ac:dyDescent="0.35">
      <c r="A14" s="34"/>
      <c r="B14" s="44"/>
      <c r="C14" s="35"/>
      <c r="D14" s="36"/>
      <c r="E14" s="36"/>
      <c r="F14" s="36"/>
      <c r="G14" s="36"/>
      <c r="H14" s="36"/>
      <c r="I14" s="36"/>
      <c r="J14" s="45"/>
      <c r="K14">
        <v>85.3</v>
      </c>
    </row>
    <row r="15" spans="1:11" ht="15" thickBot="1" x14ac:dyDescent="0.35">
      <c r="B15" s="46" t="s">
        <v>17</v>
      </c>
      <c r="C15" s="47" t="s">
        <v>6</v>
      </c>
      <c r="D15" s="47">
        <v>50.5</v>
      </c>
      <c r="E15" s="47">
        <v>509.59</v>
      </c>
      <c r="F15" s="47">
        <f>D15+E15</f>
        <v>560.08999999999992</v>
      </c>
      <c r="G15" s="47">
        <v>500.2</v>
      </c>
      <c r="H15" s="47">
        <f>F15-G15</f>
        <v>59.88999999999993</v>
      </c>
      <c r="I15" s="47"/>
      <c r="J15" s="48"/>
    </row>
    <row r="16" spans="1:11" ht="15" thickBot="1" x14ac:dyDescent="0.35"/>
    <row r="17" spans="2:4" x14ac:dyDescent="0.3">
      <c r="B17" s="53" t="s">
        <v>48</v>
      </c>
      <c r="C17" s="54" t="s">
        <v>47</v>
      </c>
      <c r="D17" s="55">
        <f>SUM(April!G17,May!G17,June!G18)</f>
        <v>34902.704687524427</v>
      </c>
    </row>
    <row r="18" spans="2:4" ht="15" thickBot="1" x14ac:dyDescent="0.35">
      <c r="B18" s="56" t="s">
        <v>49</v>
      </c>
      <c r="C18" s="57" t="s">
        <v>47</v>
      </c>
      <c r="D18" s="58">
        <f>April!D17+May!D17+June!D18</f>
        <v>28822.633999999998</v>
      </c>
    </row>
  </sheetData>
  <mergeCells count="1">
    <mergeCell ref="A1:J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May</vt:lpstr>
      <vt:lpstr>June</vt:lpstr>
      <vt:lpstr>April</vt:lpstr>
      <vt:lpstr>Q-1 ,2026-27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DURGESH M SMS QAD</dc:creator>
  <cp:lastModifiedBy>Santosh Kumar Kohroo</cp:lastModifiedBy>
  <cp:lastPrinted>2026-06-16T07:38:52Z</cp:lastPrinted>
  <dcterms:created xsi:type="dcterms:W3CDTF">2015-06-05T18:17:20Z</dcterms:created>
  <dcterms:modified xsi:type="dcterms:W3CDTF">2026-06-23T07:02:53Z</dcterms:modified>
</cp:coreProperties>
</file>