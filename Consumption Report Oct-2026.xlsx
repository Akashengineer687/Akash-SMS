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mieplplant-my.sharepoint.com/personal/santoshkumar_kohroo_marutisteel_in/Documents/Desktop/"/>
    </mc:Choice>
  </mc:AlternateContent>
  <xr:revisionPtr revIDLastSave="338" documentId="11_F25DC773A252ABDACC10488E69DA58CC5ADE58F1" xr6:coauthVersionLast="47" xr6:coauthVersionMax="47" xr10:uidLastSave="{38546A09-42A1-4E66-A2C4-C6D85B72E174}"/>
  <bookViews>
    <workbookView xWindow="-108" yWindow="-108" windowWidth="23256" windowHeight="12456" firstSheet="9" activeTab="15" xr2:uid="{00000000-000D-0000-FFFF-FFFF00000000}"/>
  </bookViews>
  <sheets>
    <sheet name="01-10-2026" sheetId="1" r:id="rId1"/>
    <sheet name="02-10-2026" sheetId="2" r:id="rId2"/>
    <sheet name="03-12-2026" sheetId="3" r:id="rId3"/>
    <sheet name="04-10-2026" sheetId="4" r:id="rId4"/>
    <sheet name="05-10-2026" sheetId="5" r:id="rId5"/>
    <sheet name="06-10-2026" sheetId="6" r:id="rId6"/>
    <sheet name="07-10-2026" sheetId="7" r:id="rId7"/>
    <sheet name="08-10-2026" sheetId="8" r:id="rId8"/>
    <sheet name="09-10-2026" sheetId="9" r:id="rId9"/>
    <sheet name="10-10-2026" sheetId="10" r:id="rId10"/>
    <sheet name="11-10-2026" sheetId="11" r:id="rId11"/>
    <sheet name="12-10-2026" sheetId="12" r:id="rId12"/>
    <sheet name="13-10-2026" sheetId="13" r:id="rId13"/>
    <sheet name="14-10-2026" sheetId="14" r:id="rId14"/>
    <sheet name="15-10-2026" sheetId="15" r:id="rId15"/>
    <sheet name="16-10-2026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16" l="1"/>
  <c r="I19" i="16"/>
  <c r="G19" i="16"/>
  <c r="H19" i="16" s="1"/>
  <c r="B19" i="16"/>
  <c r="A19" i="16"/>
  <c r="Q17" i="16"/>
  <c r="P17" i="16"/>
  <c r="I17" i="16"/>
  <c r="F17" i="16"/>
  <c r="E17" i="16"/>
  <c r="B17" i="16"/>
  <c r="G16" i="16"/>
  <c r="H16" i="16" s="1"/>
  <c r="A16" i="16" s="1"/>
  <c r="G15" i="16"/>
  <c r="H15" i="16" s="1"/>
  <c r="A15" i="16" s="1"/>
  <c r="G14" i="16"/>
  <c r="H14" i="16" s="1"/>
  <c r="A14" i="16" s="1"/>
  <c r="G13" i="16"/>
  <c r="H13" i="16" s="1"/>
  <c r="A13" i="16" s="1"/>
  <c r="G12" i="16"/>
  <c r="H12" i="16" s="1"/>
  <c r="G11" i="16"/>
  <c r="H11" i="16" s="1"/>
  <c r="A11" i="16" s="1"/>
  <c r="G10" i="16"/>
  <c r="H10" i="16" s="1"/>
  <c r="A10" i="16" s="1"/>
  <c r="H9" i="16"/>
  <c r="A9" i="16" s="1"/>
  <c r="G9" i="16"/>
  <c r="AA8" i="16"/>
  <c r="AA11" i="16" s="1"/>
  <c r="AA16" i="16" s="1"/>
  <c r="AA19" i="16" s="1"/>
  <c r="AA21" i="16" s="1"/>
  <c r="AA22" i="16" s="1"/>
  <c r="AA23" i="16" s="1"/>
  <c r="W8" i="16"/>
  <c r="W11" i="16" s="1"/>
  <c r="W16" i="16" s="1"/>
  <c r="W19" i="16" s="1"/>
  <c r="W21" i="16" s="1"/>
  <c r="W22" i="16" s="1"/>
  <c r="W23" i="16" s="1"/>
  <c r="P8" i="16"/>
  <c r="G8" i="16"/>
  <c r="H8" i="16" s="1"/>
  <c r="A8" i="16" s="1"/>
  <c r="G7" i="16"/>
  <c r="H7" i="16" s="1"/>
  <c r="G6" i="16"/>
  <c r="H6" i="16" s="1"/>
  <c r="A6" i="16" s="1"/>
  <c r="P5" i="16"/>
  <c r="M5" i="16"/>
  <c r="G5" i="16"/>
  <c r="H5" i="16" s="1"/>
  <c r="A5" i="16" s="1"/>
  <c r="G4" i="16"/>
  <c r="H4" i="16" s="1"/>
  <c r="A4" i="16" s="1"/>
  <c r="M3" i="16"/>
  <c r="K18" i="16" s="1"/>
  <c r="G3" i="16"/>
  <c r="H3" i="16" s="1"/>
  <c r="E23" i="15"/>
  <c r="I19" i="15"/>
  <c r="G19" i="15"/>
  <c r="H19" i="15" s="1"/>
  <c r="B19" i="15"/>
  <c r="A19" i="15"/>
  <c r="Q17" i="15"/>
  <c r="P17" i="15"/>
  <c r="I17" i="15"/>
  <c r="F17" i="15"/>
  <c r="E17" i="15"/>
  <c r="B17" i="15"/>
  <c r="H16" i="15"/>
  <c r="A16" i="15" s="1"/>
  <c r="G16" i="15"/>
  <c r="G15" i="15"/>
  <c r="H15" i="15" s="1"/>
  <c r="A15" i="15" s="1"/>
  <c r="G14" i="15"/>
  <c r="H14" i="15" s="1"/>
  <c r="A14" i="15" s="1"/>
  <c r="G13" i="15"/>
  <c r="H13" i="15" s="1"/>
  <c r="A13" i="15" s="1"/>
  <c r="G12" i="15"/>
  <c r="H12" i="15" s="1"/>
  <c r="AA11" i="15"/>
  <c r="AA16" i="15" s="1"/>
  <c r="AA19" i="15" s="1"/>
  <c r="AA21" i="15" s="1"/>
  <c r="AA22" i="15" s="1"/>
  <c r="AA23" i="15" s="1"/>
  <c r="W11" i="15"/>
  <c r="W16" i="15" s="1"/>
  <c r="W19" i="15" s="1"/>
  <c r="W21" i="15" s="1"/>
  <c r="W22" i="15" s="1"/>
  <c r="W23" i="15" s="1"/>
  <c r="G11" i="15"/>
  <c r="H11" i="15" s="1"/>
  <c r="A11" i="15" s="1"/>
  <c r="G10" i="15"/>
  <c r="H10" i="15" s="1"/>
  <c r="A10" i="15" s="1"/>
  <c r="G9" i="15"/>
  <c r="H9" i="15" s="1"/>
  <c r="A9" i="15" s="1"/>
  <c r="AA8" i="15"/>
  <c r="W8" i="15"/>
  <c r="P8" i="15"/>
  <c r="G8" i="15"/>
  <c r="H8" i="15" s="1"/>
  <c r="A8" i="15" s="1"/>
  <c r="G7" i="15"/>
  <c r="H7" i="15" s="1"/>
  <c r="G6" i="15"/>
  <c r="H6" i="15" s="1"/>
  <c r="A6" i="15" s="1"/>
  <c r="P5" i="15"/>
  <c r="M7" i="15" s="1"/>
  <c r="O7" i="15" s="1"/>
  <c r="M5" i="15"/>
  <c r="G5" i="15"/>
  <c r="H5" i="15" s="1"/>
  <c r="A5" i="15" s="1"/>
  <c r="G4" i="15"/>
  <c r="H4" i="15" s="1"/>
  <c r="A4" i="15" s="1"/>
  <c r="M3" i="15"/>
  <c r="K18" i="15" s="1"/>
  <c r="G3" i="15"/>
  <c r="H3" i="15" s="1"/>
  <c r="H6" i="13"/>
  <c r="H6" i="14"/>
  <c r="E23" i="14"/>
  <c r="I19" i="14"/>
  <c r="G19" i="14"/>
  <c r="H19" i="14" s="1"/>
  <c r="B19" i="14"/>
  <c r="A19" i="14"/>
  <c r="Q17" i="14"/>
  <c r="P17" i="14"/>
  <c r="I17" i="14"/>
  <c r="F17" i="14"/>
  <c r="E17" i="14"/>
  <c r="B17" i="14"/>
  <c r="AA16" i="14"/>
  <c r="AA19" i="14" s="1"/>
  <c r="AA21" i="14" s="1"/>
  <c r="AA22" i="14" s="1"/>
  <c r="AA23" i="14" s="1"/>
  <c r="W16" i="14"/>
  <c r="W19" i="14" s="1"/>
  <c r="W21" i="14" s="1"/>
  <c r="W22" i="14" s="1"/>
  <c r="W23" i="14" s="1"/>
  <c r="G16" i="14"/>
  <c r="H16" i="14" s="1"/>
  <c r="A16" i="14" s="1"/>
  <c r="G15" i="14"/>
  <c r="H15" i="14" s="1"/>
  <c r="A15" i="14" s="1"/>
  <c r="G14" i="14"/>
  <c r="H14" i="14" s="1"/>
  <c r="A14" i="14" s="1"/>
  <c r="G13" i="14"/>
  <c r="H13" i="14" s="1"/>
  <c r="A13" i="14" s="1"/>
  <c r="G12" i="14"/>
  <c r="H12" i="14" s="1"/>
  <c r="AA11" i="14"/>
  <c r="W11" i="14"/>
  <c r="G11" i="14"/>
  <c r="H11" i="14" s="1"/>
  <c r="A11" i="14" s="1"/>
  <c r="G10" i="14"/>
  <c r="H10" i="14" s="1"/>
  <c r="A10" i="14" s="1"/>
  <c r="G9" i="14"/>
  <c r="H9" i="14" s="1"/>
  <c r="A9" i="14" s="1"/>
  <c r="AA8" i="14"/>
  <c r="W8" i="14"/>
  <c r="P8" i="14"/>
  <c r="G8" i="14"/>
  <c r="H8" i="14" s="1"/>
  <c r="A8" i="14" s="1"/>
  <c r="G7" i="14"/>
  <c r="H7" i="14" s="1"/>
  <c r="G6" i="14"/>
  <c r="A6" i="14" s="1"/>
  <c r="P5" i="14"/>
  <c r="M5" i="14"/>
  <c r="G5" i="14"/>
  <c r="H5" i="14" s="1"/>
  <c r="A5" i="14" s="1"/>
  <c r="G4" i="14"/>
  <c r="H4" i="14" s="1"/>
  <c r="A4" i="14" s="1"/>
  <c r="M3" i="14"/>
  <c r="K18" i="14" s="1"/>
  <c r="G3" i="14"/>
  <c r="H3" i="14" s="1"/>
  <c r="H12" i="13"/>
  <c r="M7" i="16" l="1"/>
  <c r="G17" i="16"/>
  <c r="M17" i="16"/>
  <c r="J16" i="16"/>
  <c r="K16" i="16" s="1"/>
  <c r="J13" i="16"/>
  <c r="J11" i="16"/>
  <c r="J14" i="16"/>
  <c r="J12" i="16"/>
  <c r="J10" i="16"/>
  <c r="J8" i="16"/>
  <c r="J3" i="16"/>
  <c r="J4" i="16"/>
  <c r="J7" i="16"/>
  <c r="J5" i="16"/>
  <c r="J6" i="16"/>
  <c r="J9" i="16"/>
  <c r="J15" i="16"/>
  <c r="K15" i="16" s="1"/>
  <c r="P19" i="16"/>
  <c r="E22" i="16"/>
  <c r="E24" i="16" s="1"/>
  <c r="A12" i="16"/>
  <c r="B22" i="16" s="1"/>
  <c r="H17" i="16"/>
  <c r="N19" i="16"/>
  <c r="A20" i="16" s="1"/>
  <c r="A3" i="16"/>
  <c r="M9" i="15"/>
  <c r="G17" i="15"/>
  <c r="M17" i="15"/>
  <c r="J3" i="15"/>
  <c r="J9" i="15"/>
  <c r="J15" i="15"/>
  <c r="K15" i="15" s="1"/>
  <c r="J16" i="15"/>
  <c r="K16" i="15" s="1"/>
  <c r="J4" i="15"/>
  <c r="J8" i="15"/>
  <c r="J7" i="15"/>
  <c r="J6" i="15"/>
  <c r="J14" i="15"/>
  <c r="J5" i="15"/>
  <c r="J13" i="15"/>
  <c r="J12" i="15"/>
  <c r="J11" i="15"/>
  <c r="J10" i="15"/>
  <c r="P19" i="15"/>
  <c r="E22" i="15"/>
  <c r="E24" i="15" s="1"/>
  <c r="A12" i="15"/>
  <c r="B22" i="15" s="1"/>
  <c r="H17" i="15"/>
  <c r="N19" i="15"/>
  <c r="A20" i="15" s="1"/>
  <c r="A3" i="15"/>
  <c r="M7" i="14"/>
  <c r="G17" i="14"/>
  <c r="J10" i="14"/>
  <c r="J9" i="14"/>
  <c r="J8" i="14"/>
  <c r="M17" i="14"/>
  <c r="J7" i="14"/>
  <c r="J15" i="14"/>
  <c r="K15" i="14" s="1"/>
  <c r="J6" i="14"/>
  <c r="J14" i="14"/>
  <c r="J5" i="14"/>
  <c r="J13" i="14"/>
  <c r="J16" i="14"/>
  <c r="K16" i="14" s="1"/>
  <c r="J12" i="14"/>
  <c r="J4" i="14"/>
  <c r="J11" i="14"/>
  <c r="J3" i="14"/>
  <c r="P19" i="14"/>
  <c r="E22" i="14"/>
  <c r="E24" i="14" s="1"/>
  <c r="A12" i="14"/>
  <c r="B22" i="14" s="1"/>
  <c r="N19" i="14"/>
  <c r="A20" i="14" s="1"/>
  <c r="A3" i="14"/>
  <c r="H17" i="14"/>
  <c r="E23" i="13"/>
  <c r="I19" i="13"/>
  <c r="H19" i="13"/>
  <c r="G19" i="13"/>
  <c r="B19" i="13"/>
  <c r="A19" i="13"/>
  <c r="Q17" i="13"/>
  <c r="P17" i="13"/>
  <c r="I17" i="13"/>
  <c r="J13" i="13" s="1"/>
  <c r="F17" i="13"/>
  <c r="E17" i="13"/>
  <c r="B17" i="13"/>
  <c r="G16" i="13"/>
  <c r="H16" i="13" s="1"/>
  <c r="A16" i="13" s="1"/>
  <c r="H15" i="13"/>
  <c r="A15" i="13" s="1"/>
  <c r="G15" i="13"/>
  <c r="G14" i="13"/>
  <c r="H14" i="13" s="1"/>
  <c r="A14" i="13" s="1"/>
  <c r="G13" i="13"/>
  <c r="H13" i="13" s="1"/>
  <c r="A13" i="13" s="1"/>
  <c r="G12" i="13"/>
  <c r="AA11" i="13"/>
  <c r="AA16" i="13" s="1"/>
  <c r="AA19" i="13" s="1"/>
  <c r="AA21" i="13" s="1"/>
  <c r="AA22" i="13" s="1"/>
  <c r="AA23" i="13" s="1"/>
  <c r="W11" i="13"/>
  <c r="W16" i="13" s="1"/>
  <c r="W19" i="13" s="1"/>
  <c r="W21" i="13" s="1"/>
  <c r="W22" i="13" s="1"/>
  <c r="W23" i="13" s="1"/>
  <c r="G11" i="13"/>
  <c r="H11" i="13" s="1"/>
  <c r="A11" i="13" s="1"/>
  <c r="G10" i="13"/>
  <c r="H10" i="13" s="1"/>
  <c r="A10" i="13" s="1"/>
  <c r="G9" i="13"/>
  <c r="H9" i="13" s="1"/>
  <c r="A9" i="13" s="1"/>
  <c r="AA8" i="13"/>
  <c r="W8" i="13"/>
  <c r="P8" i="13"/>
  <c r="M7" i="13" s="1"/>
  <c r="O7" i="13" s="1"/>
  <c r="G8" i="13"/>
  <c r="H8" i="13" s="1"/>
  <c r="A8" i="13" s="1"/>
  <c r="H7" i="13"/>
  <c r="G7" i="13"/>
  <c r="G6" i="13"/>
  <c r="A6" i="13" s="1"/>
  <c r="P5" i="13"/>
  <c r="M5" i="13"/>
  <c r="G5" i="13"/>
  <c r="H5" i="13" s="1"/>
  <c r="A5" i="13" s="1"/>
  <c r="G4" i="13"/>
  <c r="H4" i="13" s="1"/>
  <c r="A4" i="13" s="1"/>
  <c r="M3" i="13"/>
  <c r="K18" i="13" s="1"/>
  <c r="G3" i="13"/>
  <c r="H3" i="13" s="1"/>
  <c r="H12" i="12"/>
  <c r="E23" i="12"/>
  <c r="I19" i="12"/>
  <c r="H19" i="12"/>
  <c r="G19" i="12"/>
  <c r="B19" i="12"/>
  <c r="A19" i="12"/>
  <c r="Q17" i="12"/>
  <c r="P17" i="12"/>
  <c r="I17" i="12"/>
  <c r="J13" i="12" s="1"/>
  <c r="F17" i="12"/>
  <c r="G17" i="12" s="1"/>
  <c r="E17" i="12"/>
  <c r="B17" i="12"/>
  <c r="G16" i="12"/>
  <c r="H16" i="12" s="1"/>
  <c r="A16" i="12" s="1"/>
  <c r="J15" i="12"/>
  <c r="K15" i="12" s="1"/>
  <c r="G15" i="12"/>
  <c r="H15" i="12" s="1"/>
  <c r="A15" i="12" s="1"/>
  <c r="G14" i="12"/>
  <c r="H14" i="12" s="1"/>
  <c r="A14" i="12" s="1"/>
  <c r="G13" i="12"/>
  <c r="H13" i="12" s="1"/>
  <c r="A13" i="12" s="1"/>
  <c r="G12" i="12"/>
  <c r="AA11" i="12"/>
  <c r="AA16" i="12" s="1"/>
  <c r="AA19" i="12" s="1"/>
  <c r="AA21" i="12" s="1"/>
  <c r="AA22" i="12" s="1"/>
  <c r="AA23" i="12" s="1"/>
  <c r="G11" i="12"/>
  <c r="H11" i="12" s="1"/>
  <c r="A11" i="12" s="1"/>
  <c r="G10" i="12"/>
  <c r="H10" i="12" s="1"/>
  <c r="A10" i="12" s="1"/>
  <c r="G9" i="12"/>
  <c r="H9" i="12" s="1"/>
  <c r="A9" i="12" s="1"/>
  <c r="AA8" i="12"/>
  <c r="W8" i="12"/>
  <c r="W11" i="12" s="1"/>
  <c r="W16" i="12" s="1"/>
  <c r="W19" i="12" s="1"/>
  <c r="W21" i="12" s="1"/>
  <c r="W22" i="12" s="1"/>
  <c r="W23" i="12" s="1"/>
  <c r="P8" i="12"/>
  <c r="M7" i="12" s="1"/>
  <c r="O7" i="12" s="1"/>
  <c r="J8" i="12"/>
  <c r="R8" i="12" s="1"/>
  <c r="G8" i="12"/>
  <c r="H8" i="12" s="1"/>
  <c r="A8" i="12" s="1"/>
  <c r="J7" i="12"/>
  <c r="R7" i="12" s="1"/>
  <c r="G7" i="12"/>
  <c r="H7" i="12" s="1"/>
  <c r="G6" i="12"/>
  <c r="H6" i="12" s="1"/>
  <c r="A6" i="12" s="1"/>
  <c r="P5" i="12"/>
  <c r="M5" i="12"/>
  <c r="M9" i="12" s="1"/>
  <c r="H5" i="12"/>
  <c r="A5" i="12" s="1"/>
  <c r="G5" i="12"/>
  <c r="H4" i="12"/>
  <c r="A4" i="12" s="1"/>
  <c r="G4" i="12"/>
  <c r="M3" i="12"/>
  <c r="K18" i="12" s="1"/>
  <c r="H3" i="12"/>
  <c r="G3" i="12"/>
  <c r="E23" i="11"/>
  <c r="I19" i="11"/>
  <c r="G19" i="11"/>
  <c r="H19" i="11" s="1"/>
  <c r="B19" i="11"/>
  <c r="A19" i="11"/>
  <c r="Q17" i="11"/>
  <c r="P17" i="11"/>
  <c r="I17" i="11"/>
  <c r="J13" i="11" s="1"/>
  <c r="F17" i="11"/>
  <c r="E17" i="11"/>
  <c r="B17" i="11"/>
  <c r="G16" i="11"/>
  <c r="H16" i="11" s="1"/>
  <c r="A16" i="11" s="1"/>
  <c r="G15" i="11"/>
  <c r="H15" i="11" s="1"/>
  <c r="A15" i="11" s="1"/>
  <c r="G14" i="11"/>
  <c r="H14" i="11" s="1"/>
  <c r="A14" i="11" s="1"/>
  <c r="G13" i="11"/>
  <c r="H13" i="11" s="1"/>
  <c r="A13" i="11" s="1"/>
  <c r="G12" i="11"/>
  <c r="H12" i="11" s="1"/>
  <c r="W11" i="11"/>
  <c r="W16" i="11" s="1"/>
  <c r="W19" i="11" s="1"/>
  <c r="W21" i="11" s="1"/>
  <c r="W22" i="11" s="1"/>
  <c r="W23" i="11" s="1"/>
  <c r="G11" i="11"/>
  <c r="H11" i="11" s="1"/>
  <c r="A11" i="11" s="1"/>
  <c r="G10" i="11"/>
  <c r="H10" i="11" s="1"/>
  <c r="A10" i="11" s="1"/>
  <c r="G9" i="11"/>
  <c r="H9" i="11" s="1"/>
  <c r="A9" i="11" s="1"/>
  <c r="AA8" i="11"/>
  <c r="AA11" i="11" s="1"/>
  <c r="AA16" i="11" s="1"/>
  <c r="AA19" i="11" s="1"/>
  <c r="AA21" i="11" s="1"/>
  <c r="AA22" i="11" s="1"/>
  <c r="AA23" i="11" s="1"/>
  <c r="W8" i="11"/>
  <c r="P8" i="11"/>
  <c r="G8" i="11"/>
  <c r="H8" i="11" s="1"/>
  <c r="A8" i="11" s="1"/>
  <c r="G7" i="11"/>
  <c r="H7" i="11" s="1"/>
  <c r="G6" i="11"/>
  <c r="H6" i="11" s="1"/>
  <c r="A6" i="11" s="1"/>
  <c r="P5" i="11"/>
  <c r="M5" i="11"/>
  <c r="G5" i="11"/>
  <c r="H5" i="11" s="1"/>
  <c r="A5" i="11" s="1"/>
  <c r="G4" i="11"/>
  <c r="H4" i="11" s="1"/>
  <c r="A4" i="11" s="1"/>
  <c r="M3" i="11"/>
  <c r="K18" i="11" s="1"/>
  <c r="G3" i="11"/>
  <c r="H3" i="11" s="1"/>
  <c r="E23" i="10"/>
  <c r="I19" i="10"/>
  <c r="G19" i="10"/>
  <c r="H19" i="10" s="1"/>
  <c r="B19" i="10"/>
  <c r="A19" i="10"/>
  <c r="Q17" i="10"/>
  <c r="P17" i="10"/>
  <c r="I17" i="10"/>
  <c r="J14" i="10" s="1"/>
  <c r="R14" i="10" s="1"/>
  <c r="F17" i="10"/>
  <c r="E17" i="10"/>
  <c r="B17" i="10"/>
  <c r="G16" i="10"/>
  <c r="H16" i="10" s="1"/>
  <c r="A16" i="10" s="1"/>
  <c r="G15" i="10"/>
  <c r="H15" i="10" s="1"/>
  <c r="A15" i="10" s="1"/>
  <c r="G14" i="10"/>
  <c r="H14" i="10" s="1"/>
  <c r="A14" i="10" s="1"/>
  <c r="G13" i="10"/>
  <c r="H13" i="10" s="1"/>
  <c r="A13" i="10" s="1"/>
  <c r="G12" i="10"/>
  <c r="H12" i="10" s="1"/>
  <c r="AA11" i="10"/>
  <c r="AA16" i="10" s="1"/>
  <c r="AA19" i="10" s="1"/>
  <c r="AA21" i="10" s="1"/>
  <c r="AA22" i="10" s="1"/>
  <c r="AA23" i="10" s="1"/>
  <c r="W11" i="10"/>
  <c r="W16" i="10" s="1"/>
  <c r="W19" i="10" s="1"/>
  <c r="W21" i="10" s="1"/>
  <c r="W22" i="10" s="1"/>
  <c r="W23" i="10" s="1"/>
  <c r="G11" i="10"/>
  <c r="H11" i="10" s="1"/>
  <c r="A11" i="10" s="1"/>
  <c r="G10" i="10"/>
  <c r="H10" i="10" s="1"/>
  <c r="A10" i="10" s="1"/>
  <c r="H9" i="10"/>
  <c r="A9" i="10" s="1"/>
  <c r="G9" i="10"/>
  <c r="AA8" i="10"/>
  <c r="W8" i="10"/>
  <c r="P8" i="10"/>
  <c r="G8" i="10"/>
  <c r="H8" i="10" s="1"/>
  <c r="A8" i="10" s="1"/>
  <c r="G7" i="10"/>
  <c r="H7" i="10" s="1"/>
  <c r="G6" i="10"/>
  <c r="H6" i="10" s="1"/>
  <c r="A6" i="10" s="1"/>
  <c r="P5" i="10"/>
  <c r="M5" i="10"/>
  <c r="G5" i="10"/>
  <c r="H5" i="10" s="1"/>
  <c r="A5" i="10" s="1"/>
  <c r="G4" i="10"/>
  <c r="H4" i="10" s="1"/>
  <c r="A4" i="10" s="1"/>
  <c r="M3" i="10"/>
  <c r="K18" i="10" s="1"/>
  <c r="G3" i="10"/>
  <c r="H3" i="10" s="1"/>
  <c r="M3" i="9"/>
  <c r="M9" i="16" l="1"/>
  <c r="O7" i="16"/>
  <c r="U4" i="16"/>
  <c r="R13" i="16"/>
  <c r="K13" i="16"/>
  <c r="K11" i="16"/>
  <c r="R11" i="16"/>
  <c r="R14" i="16"/>
  <c r="K14" i="16"/>
  <c r="K12" i="16"/>
  <c r="R12" i="16"/>
  <c r="K10" i="16"/>
  <c r="R10" i="16"/>
  <c r="K8" i="16"/>
  <c r="R8" i="16"/>
  <c r="K3" i="16"/>
  <c r="R3" i="16"/>
  <c r="J17" i="16"/>
  <c r="R17" i="16" s="1"/>
  <c r="K4" i="16"/>
  <c r="R4" i="16"/>
  <c r="K7" i="16"/>
  <c r="R7" i="16"/>
  <c r="K5" i="16"/>
  <c r="R5" i="16"/>
  <c r="U11" i="16"/>
  <c r="Y10" i="16" s="1"/>
  <c r="K6" i="16"/>
  <c r="R6" i="16"/>
  <c r="R9" i="16"/>
  <c r="K9" i="16"/>
  <c r="P18" i="16"/>
  <c r="B20" i="16"/>
  <c r="Q19" i="16"/>
  <c r="A17" i="16"/>
  <c r="B18" i="16"/>
  <c r="U4" i="15"/>
  <c r="J17" i="15"/>
  <c r="R17" i="15" s="1"/>
  <c r="K3" i="15"/>
  <c r="R3" i="15"/>
  <c r="K9" i="15"/>
  <c r="R9" i="15"/>
  <c r="K4" i="15"/>
  <c r="R4" i="15"/>
  <c r="K8" i="15"/>
  <c r="R8" i="15"/>
  <c r="K7" i="15"/>
  <c r="R7" i="15"/>
  <c r="K6" i="15"/>
  <c r="R6" i="15"/>
  <c r="K14" i="15"/>
  <c r="R14" i="15"/>
  <c r="K5" i="15"/>
  <c r="R5" i="15"/>
  <c r="U11" i="15"/>
  <c r="Y10" i="15" s="1"/>
  <c r="K13" i="15"/>
  <c r="R13" i="15"/>
  <c r="K12" i="15"/>
  <c r="R12" i="15"/>
  <c r="K11" i="15"/>
  <c r="R11" i="15"/>
  <c r="K10" i="15"/>
  <c r="R10" i="15"/>
  <c r="P18" i="15"/>
  <c r="B20" i="15"/>
  <c r="Q19" i="15"/>
  <c r="A17" i="15"/>
  <c r="B18" i="15"/>
  <c r="O7" i="14"/>
  <c r="M9" i="14"/>
  <c r="R10" i="14"/>
  <c r="K10" i="14"/>
  <c r="K9" i="14"/>
  <c r="R9" i="14"/>
  <c r="K8" i="14"/>
  <c r="R8" i="14"/>
  <c r="U4" i="14"/>
  <c r="K7" i="14"/>
  <c r="R7" i="14"/>
  <c r="K6" i="14"/>
  <c r="R6" i="14"/>
  <c r="K14" i="14"/>
  <c r="R14" i="14"/>
  <c r="K5" i="14"/>
  <c r="R5" i="14"/>
  <c r="U11" i="14"/>
  <c r="Y10" i="14" s="1"/>
  <c r="K13" i="14"/>
  <c r="R13" i="14"/>
  <c r="K12" i="14"/>
  <c r="R12" i="14"/>
  <c r="K4" i="14"/>
  <c r="R4" i="14"/>
  <c r="K11" i="14"/>
  <c r="R11" i="14"/>
  <c r="K3" i="14"/>
  <c r="K17" i="14" s="1"/>
  <c r="N17" i="14" s="1"/>
  <c r="O17" i="14" s="1"/>
  <c r="R3" i="14"/>
  <c r="J17" i="14"/>
  <c r="R17" i="14" s="1"/>
  <c r="P18" i="14"/>
  <c r="Q19" i="14"/>
  <c r="B20" i="14"/>
  <c r="A17" i="14"/>
  <c r="B18" i="14"/>
  <c r="J15" i="13"/>
  <c r="K15" i="13" s="1"/>
  <c r="J7" i="13"/>
  <c r="R7" i="13" s="1"/>
  <c r="J8" i="13"/>
  <c r="R8" i="13" s="1"/>
  <c r="M9" i="13"/>
  <c r="G17" i="13"/>
  <c r="P19" i="13"/>
  <c r="A12" i="13"/>
  <c r="B22" i="13" s="1"/>
  <c r="E22" i="13"/>
  <c r="E24" i="13" s="1"/>
  <c r="N19" i="13"/>
  <c r="A20" i="13" s="1"/>
  <c r="R13" i="13"/>
  <c r="K13" i="13"/>
  <c r="J4" i="13"/>
  <c r="K8" i="13"/>
  <c r="J9" i="13"/>
  <c r="J12" i="13"/>
  <c r="J16" i="13"/>
  <c r="K16" i="13" s="1"/>
  <c r="A3" i="13"/>
  <c r="J3" i="13"/>
  <c r="H17" i="13"/>
  <c r="J5" i="13"/>
  <c r="K7" i="13"/>
  <c r="J14" i="13"/>
  <c r="J6" i="13"/>
  <c r="J11" i="13"/>
  <c r="M17" i="13"/>
  <c r="J10" i="13"/>
  <c r="H17" i="12"/>
  <c r="P19" i="12"/>
  <c r="E22" i="12"/>
  <c r="E24" i="12" s="1"/>
  <c r="A12" i="12"/>
  <c r="B22" i="12" s="1"/>
  <c r="P18" i="12"/>
  <c r="K13" i="12"/>
  <c r="R13" i="12"/>
  <c r="J5" i="12"/>
  <c r="K7" i="12"/>
  <c r="J14" i="12"/>
  <c r="J12" i="12"/>
  <c r="A3" i="12"/>
  <c r="J3" i="12"/>
  <c r="J9" i="12"/>
  <c r="N19" i="12"/>
  <c r="A20" i="12" s="1"/>
  <c r="J16" i="12"/>
  <c r="K16" i="12" s="1"/>
  <c r="J4" i="12"/>
  <c r="K8" i="12"/>
  <c r="J6" i="12"/>
  <c r="J11" i="12"/>
  <c r="M17" i="12"/>
  <c r="J10" i="12"/>
  <c r="M7" i="11"/>
  <c r="O7" i="11" s="1"/>
  <c r="J8" i="11"/>
  <c r="K8" i="11" s="1"/>
  <c r="J12" i="11"/>
  <c r="R12" i="11" s="1"/>
  <c r="J15" i="11"/>
  <c r="K15" i="11" s="1"/>
  <c r="J7" i="11"/>
  <c r="R7" i="11" s="1"/>
  <c r="J16" i="11"/>
  <c r="K16" i="11" s="1"/>
  <c r="G17" i="11"/>
  <c r="R13" i="11"/>
  <c r="K13" i="11"/>
  <c r="H17" i="11"/>
  <c r="N19" i="11"/>
  <c r="A20" i="11" s="1"/>
  <c r="A3" i="11"/>
  <c r="A12" i="11"/>
  <c r="B22" i="11" s="1"/>
  <c r="E22" i="11"/>
  <c r="E24" i="11" s="1"/>
  <c r="P19" i="11"/>
  <c r="K12" i="11"/>
  <c r="J3" i="11"/>
  <c r="J9" i="11"/>
  <c r="J6" i="11"/>
  <c r="J11" i="11"/>
  <c r="M17" i="11"/>
  <c r="J4" i="11"/>
  <c r="J5" i="11"/>
  <c r="J14" i="11"/>
  <c r="J10" i="11"/>
  <c r="J13" i="10"/>
  <c r="J16" i="10"/>
  <c r="K16" i="10" s="1"/>
  <c r="J10" i="10"/>
  <c r="J4" i="10"/>
  <c r="R4" i="10" s="1"/>
  <c r="J12" i="10"/>
  <c r="R12" i="10" s="1"/>
  <c r="J15" i="10"/>
  <c r="K15" i="10" s="1"/>
  <c r="M17" i="10"/>
  <c r="U4" i="10" s="1"/>
  <c r="U9" i="10" s="1"/>
  <c r="J7" i="10"/>
  <c r="J11" i="10"/>
  <c r="J3" i="10"/>
  <c r="K3" i="10" s="1"/>
  <c r="J8" i="10"/>
  <c r="J9" i="10"/>
  <c r="K9" i="10" s="1"/>
  <c r="J5" i="10"/>
  <c r="K5" i="10" s="1"/>
  <c r="J6" i="10"/>
  <c r="G17" i="10"/>
  <c r="M7" i="10"/>
  <c r="O7" i="10" s="1"/>
  <c r="N19" i="10"/>
  <c r="A20" i="10" s="1"/>
  <c r="H17" i="10"/>
  <c r="A3" i="10"/>
  <c r="P19" i="10"/>
  <c r="A12" i="10"/>
  <c r="B22" i="10" s="1"/>
  <c r="E22" i="10"/>
  <c r="E24" i="10" s="1"/>
  <c r="K14" i="10"/>
  <c r="E23" i="9"/>
  <c r="I19" i="9"/>
  <c r="G19" i="9"/>
  <c r="H19" i="9" s="1"/>
  <c r="B19" i="9"/>
  <c r="A19" i="9"/>
  <c r="K18" i="9"/>
  <c r="Q17" i="9"/>
  <c r="P17" i="9"/>
  <c r="I17" i="9"/>
  <c r="M17" i="9" s="1"/>
  <c r="F17" i="9"/>
  <c r="E17" i="9"/>
  <c r="B17" i="9"/>
  <c r="G16" i="9"/>
  <c r="H16" i="9" s="1"/>
  <c r="A16" i="9" s="1"/>
  <c r="G15" i="9"/>
  <c r="H15" i="9" s="1"/>
  <c r="A15" i="9" s="1"/>
  <c r="G14" i="9"/>
  <c r="H14" i="9" s="1"/>
  <c r="A14" i="9" s="1"/>
  <c r="G13" i="9"/>
  <c r="H13" i="9" s="1"/>
  <c r="A13" i="9" s="1"/>
  <c r="G12" i="9"/>
  <c r="H12" i="9" s="1"/>
  <c r="H11" i="9"/>
  <c r="A11" i="9" s="1"/>
  <c r="G11" i="9"/>
  <c r="G10" i="9"/>
  <c r="H10" i="9" s="1"/>
  <c r="A10" i="9" s="1"/>
  <c r="H9" i="9"/>
  <c r="G9" i="9"/>
  <c r="A9" i="9"/>
  <c r="AA8" i="9"/>
  <c r="AA11" i="9" s="1"/>
  <c r="AA16" i="9" s="1"/>
  <c r="AA19" i="9" s="1"/>
  <c r="AA21" i="9" s="1"/>
  <c r="AA22" i="9" s="1"/>
  <c r="AA23" i="9" s="1"/>
  <c r="W8" i="9"/>
  <c r="W11" i="9" s="1"/>
  <c r="W16" i="9" s="1"/>
  <c r="W19" i="9" s="1"/>
  <c r="W21" i="9" s="1"/>
  <c r="W22" i="9" s="1"/>
  <c r="W23" i="9" s="1"/>
  <c r="P8" i="9"/>
  <c r="G8" i="9"/>
  <c r="H8" i="9" s="1"/>
  <c r="A8" i="9" s="1"/>
  <c r="G7" i="9"/>
  <c r="H7" i="9" s="1"/>
  <c r="H6" i="9"/>
  <c r="A6" i="9" s="1"/>
  <c r="G6" i="9"/>
  <c r="P5" i="9"/>
  <c r="M5" i="9"/>
  <c r="G5" i="9"/>
  <c r="H5" i="9" s="1"/>
  <c r="A5" i="9" s="1"/>
  <c r="G4" i="9"/>
  <c r="H4" i="9" s="1"/>
  <c r="G3" i="9"/>
  <c r="H3" i="9" s="1"/>
  <c r="A3" i="9" s="1"/>
  <c r="E23" i="8"/>
  <c r="I19" i="8"/>
  <c r="G19" i="8"/>
  <c r="H19" i="8" s="1"/>
  <c r="B19" i="8"/>
  <c r="A19" i="8"/>
  <c r="K18" i="8"/>
  <c r="Q17" i="8"/>
  <c r="P17" i="8"/>
  <c r="I17" i="8"/>
  <c r="M17" i="8" s="1"/>
  <c r="F17" i="8"/>
  <c r="E17" i="8"/>
  <c r="B17" i="8"/>
  <c r="J16" i="8"/>
  <c r="K16" i="8" s="1"/>
  <c r="G16" i="8"/>
  <c r="H16" i="8" s="1"/>
  <c r="A16" i="8" s="1"/>
  <c r="J15" i="8"/>
  <c r="K15" i="8" s="1"/>
  <c r="G15" i="8"/>
  <c r="H15" i="8" s="1"/>
  <c r="A15" i="8" s="1"/>
  <c r="G14" i="8"/>
  <c r="H14" i="8" s="1"/>
  <c r="A14" i="8" s="1"/>
  <c r="G13" i="8"/>
  <c r="H13" i="8" s="1"/>
  <c r="A13" i="8" s="1"/>
  <c r="G12" i="8"/>
  <c r="H12" i="8" s="1"/>
  <c r="G11" i="8"/>
  <c r="H11" i="8" s="1"/>
  <c r="A11" i="8" s="1"/>
  <c r="J10" i="8"/>
  <c r="R10" i="8" s="1"/>
  <c r="G10" i="8"/>
  <c r="H10" i="8" s="1"/>
  <c r="A10" i="8" s="1"/>
  <c r="G9" i="8"/>
  <c r="H9" i="8" s="1"/>
  <c r="A9" i="8" s="1"/>
  <c r="AA8" i="8"/>
  <c r="AA11" i="8" s="1"/>
  <c r="AA16" i="8" s="1"/>
  <c r="AA19" i="8" s="1"/>
  <c r="AA21" i="8" s="1"/>
  <c r="AA22" i="8" s="1"/>
  <c r="AA23" i="8" s="1"/>
  <c r="W8" i="8"/>
  <c r="W11" i="8" s="1"/>
  <c r="W16" i="8" s="1"/>
  <c r="W19" i="8" s="1"/>
  <c r="W21" i="8" s="1"/>
  <c r="W22" i="8" s="1"/>
  <c r="W23" i="8" s="1"/>
  <c r="P8" i="8"/>
  <c r="G8" i="8"/>
  <c r="H8" i="8" s="1"/>
  <c r="A8" i="8" s="1"/>
  <c r="J7" i="8"/>
  <c r="K7" i="8" s="1"/>
  <c r="G7" i="8"/>
  <c r="H7" i="8" s="1"/>
  <c r="G6" i="8"/>
  <c r="H6" i="8" s="1"/>
  <c r="A6" i="8" s="1"/>
  <c r="P5" i="8"/>
  <c r="M5" i="8"/>
  <c r="G5" i="8"/>
  <c r="H5" i="8" s="1"/>
  <c r="A5" i="8" s="1"/>
  <c r="G4" i="8"/>
  <c r="H4" i="8" s="1"/>
  <c r="A4" i="8" s="1"/>
  <c r="G3" i="8"/>
  <c r="H3" i="8" s="1"/>
  <c r="E23" i="7"/>
  <c r="I19" i="7"/>
  <c r="G19" i="7"/>
  <c r="H19" i="7" s="1"/>
  <c r="B19" i="7"/>
  <c r="A19" i="7"/>
  <c r="K18" i="7"/>
  <c r="Q17" i="7"/>
  <c r="P17" i="7"/>
  <c r="I17" i="7"/>
  <c r="J5" i="7" s="1"/>
  <c r="F17" i="7"/>
  <c r="E17" i="7"/>
  <c r="B17" i="7"/>
  <c r="G16" i="7"/>
  <c r="H16" i="7" s="1"/>
  <c r="A16" i="7" s="1"/>
  <c r="G15" i="7"/>
  <c r="H15" i="7" s="1"/>
  <c r="A15" i="7" s="1"/>
  <c r="G14" i="7"/>
  <c r="H14" i="7" s="1"/>
  <c r="A14" i="7" s="1"/>
  <c r="G13" i="7"/>
  <c r="H13" i="7" s="1"/>
  <c r="A13" i="7" s="1"/>
  <c r="G12" i="7"/>
  <c r="H12" i="7" s="1"/>
  <c r="W11" i="7"/>
  <c r="W16" i="7" s="1"/>
  <c r="W19" i="7" s="1"/>
  <c r="W21" i="7" s="1"/>
  <c r="W22" i="7" s="1"/>
  <c r="W23" i="7" s="1"/>
  <c r="H11" i="7"/>
  <c r="G11" i="7"/>
  <c r="A11" i="7"/>
  <c r="G10" i="7"/>
  <c r="H10" i="7" s="1"/>
  <c r="A10" i="7" s="1"/>
  <c r="G9" i="7"/>
  <c r="H9" i="7" s="1"/>
  <c r="A9" i="7" s="1"/>
  <c r="AA8" i="7"/>
  <c r="AA11" i="7" s="1"/>
  <c r="AA16" i="7" s="1"/>
  <c r="AA19" i="7" s="1"/>
  <c r="AA21" i="7" s="1"/>
  <c r="AA22" i="7" s="1"/>
  <c r="AA23" i="7" s="1"/>
  <c r="W8" i="7"/>
  <c r="P8" i="7"/>
  <c r="G8" i="7"/>
  <c r="H8" i="7" s="1"/>
  <c r="A8" i="7" s="1"/>
  <c r="G7" i="7"/>
  <c r="H7" i="7" s="1"/>
  <c r="H6" i="7"/>
  <c r="G6" i="7"/>
  <c r="A6" i="7"/>
  <c r="P5" i="7"/>
  <c r="M7" i="7" s="1"/>
  <c r="O7" i="7" s="1"/>
  <c r="M5" i="7"/>
  <c r="G5" i="7"/>
  <c r="H5" i="7" s="1"/>
  <c r="A5" i="7" s="1"/>
  <c r="G4" i="7"/>
  <c r="H4" i="7" s="1"/>
  <c r="A4" i="7" s="1"/>
  <c r="G3" i="7"/>
  <c r="H3" i="7" s="1"/>
  <c r="E23" i="6"/>
  <c r="AA21" i="6"/>
  <c r="AA22" i="6" s="1"/>
  <c r="AA23" i="6" s="1"/>
  <c r="W19" i="6"/>
  <c r="W21" i="6" s="1"/>
  <c r="W22" i="6" s="1"/>
  <c r="W23" i="6" s="1"/>
  <c r="I19" i="6"/>
  <c r="G19" i="6"/>
  <c r="H19" i="6" s="1"/>
  <c r="B19" i="6"/>
  <c r="A19" i="6"/>
  <c r="K18" i="6"/>
  <c r="Q17" i="6"/>
  <c r="P17" i="6"/>
  <c r="I17" i="6"/>
  <c r="J13" i="6" s="1"/>
  <c r="R13" i="6" s="1"/>
  <c r="F17" i="6"/>
  <c r="E17" i="6"/>
  <c r="B17" i="6"/>
  <c r="G16" i="6"/>
  <c r="H16" i="6" s="1"/>
  <c r="A16" i="6" s="1"/>
  <c r="G15" i="6"/>
  <c r="H15" i="6" s="1"/>
  <c r="A15" i="6"/>
  <c r="G14" i="6"/>
  <c r="H14" i="6" s="1"/>
  <c r="A14" i="6" s="1"/>
  <c r="G13" i="6"/>
  <c r="H13" i="6" s="1"/>
  <c r="A13" i="6" s="1"/>
  <c r="G12" i="6"/>
  <c r="H12" i="6" s="1"/>
  <c r="W11" i="6"/>
  <c r="W16" i="6" s="1"/>
  <c r="G11" i="6"/>
  <c r="H11" i="6" s="1"/>
  <c r="A11" i="6" s="1"/>
  <c r="G10" i="6"/>
  <c r="H10" i="6" s="1"/>
  <c r="A10" i="6" s="1"/>
  <c r="G9" i="6"/>
  <c r="H9" i="6" s="1"/>
  <c r="A9" i="6"/>
  <c r="AA8" i="6"/>
  <c r="AA11" i="6" s="1"/>
  <c r="AA16" i="6" s="1"/>
  <c r="AA19" i="6" s="1"/>
  <c r="W8" i="6"/>
  <c r="P8" i="6"/>
  <c r="G8" i="6"/>
  <c r="H8" i="6" s="1"/>
  <c r="A8" i="6" s="1"/>
  <c r="G7" i="6"/>
  <c r="H7" i="6" s="1"/>
  <c r="G6" i="6"/>
  <c r="H6" i="6" s="1"/>
  <c r="A6" i="6" s="1"/>
  <c r="P5" i="6"/>
  <c r="M5" i="6"/>
  <c r="G5" i="6"/>
  <c r="H5" i="6" s="1"/>
  <c r="A5" i="6" s="1"/>
  <c r="G4" i="6"/>
  <c r="H4" i="6" s="1"/>
  <c r="A4" i="6" s="1"/>
  <c r="G3" i="6"/>
  <c r="H3" i="6" s="1"/>
  <c r="A20" i="5"/>
  <c r="B20" i="5"/>
  <c r="Y4" i="16" l="1"/>
  <c r="Y8" i="16" s="1"/>
  <c r="Y11" i="16" s="1"/>
  <c r="Y16" i="16" s="1"/>
  <c r="Y19" i="16" s="1"/>
  <c r="Y21" i="16" s="1"/>
  <c r="Y22" i="16" s="1"/>
  <c r="Y23" i="16" s="1"/>
  <c r="U9" i="16"/>
  <c r="U12" i="16" s="1"/>
  <c r="K17" i="16"/>
  <c r="N17" i="16" s="1"/>
  <c r="O17" i="16" s="1"/>
  <c r="Y4" i="15"/>
  <c r="Y8" i="15" s="1"/>
  <c r="Y11" i="15" s="1"/>
  <c r="Y16" i="15" s="1"/>
  <c r="Y19" i="15" s="1"/>
  <c r="Y21" i="15" s="1"/>
  <c r="Y22" i="15" s="1"/>
  <c r="Y23" i="15" s="1"/>
  <c r="U9" i="15"/>
  <c r="U12" i="15" s="1"/>
  <c r="K17" i="15"/>
  <c r="N17" i="15" s="1"/>
  <c r="O17" i="15" s="1"/>
  <c r="Y4" i="14"/>
  <c r="Y8" i="14" s="1"/>
  <c r="Y11" i="14" s="1"/>
  <c r="Y16" i="14" s="1"/>
  <c r="Y19" i="14" s="1"/>
  <c r="Y21" i="14" s="1"/>
  <c r="Y22" i="14" s="1"/>
  <c r="Y23" i="14" s="1"/>
  <c r="U9" i="14"/>
  <c r="U12" i="14" s="1"/>
  <c r="B18" i="13"/>
  <c r="A17" i="13"/>
  <c r="R10" i="13"/>
  <c r="K10" i="13"/>
  <c r="K3" i="13"/>
  <c r="R3" i="13"/>
  <c r="J17" i="13"/>
  <c r="R17" i="13" s="1"/>
  <c r="U4" i="13"/>
  <c r="R4" i="13"/>
  <c r="K4" i="13"/>
  <c r="K6" i="13"/>
  <c r="R6" i="13"/>
  <c r="R12" i="13"/>
  <c r="K12" i="13"/>
  <c r="R14" i="13"/>
  <c r="K14" i="13"/>
  <c r="K9" i="13"/>
  <c r="R9" i="13"/>
  <c r="Q19" i="13"/>
  <c r="P18" i="13"/>
  <c r="B20" i="13"/>
  <c r="K5" i="13"/>
  <c r="R5" i="13"/>
  <c r="U11" i="13"/>
  <c r="Y10" i="13" s="1"/>
  <c r="K11" i="13"/>
  <c r="R11" i="13"/>
  <c r="K6" i="12"/>
  <c r="R6" i="12"/>
  <c r="R12" i="12"/>
  <c r="K12" i="12"/>
  <c r="R3" i="12"/>
  <c r="K3" i="12"/>
  <c r="J17" i="12"/>
  <c r="R17" i="12" s="1"/>
  <c r="K11" i="12"/>
  <c r="R11" i="12"/>
  <c r="R14" i="12"/>
  <c r="K14" i="12"/>
  <c r="Q19" i="12"/>
  <c r="B20" i="12"/>
  <c r="K9" i="12"/>
  <c r="R9" i="12"/>
  <c r="R4" i="12"/>
  <c r="K4" i="12"/>
  <c r="A17" i="12"/>
  <c r="B18" i="12"/>
  <c r="R10" i="12"/>
  <c r="K10" i="12"/>
  <c r="U4" i="12"/>
  <c r="R5" i="12"/>
  <c r="K5" i="12"/>
  <c r="U11" i="12"/>
  <c r="Y10" i="12" s="1"/>
  <c r="K7" i="11"/>
  <c r="M9" i="11"/>
  <c r="R8" i="11"/>
  <c r="K3" i="11"/>
  <c r="R3" i="11"/>
  <c r="J17" i="11"/>
  <c r="R17" i="11" s="1"/>
  <c r="K5" i="11"/>
  <c r="U11" i="11"/>
  <c r="Y10" i="11" s="1"/>
  <c r="R5" i="11"/>
  <c r="R4" i="11"/>
  <c r="K4" i="11"/>
  <c r="B18" i="11"/>
  <c r="A17" i="11"/>
  <c r="U4" i="11"/>
  <c r="Q19" i="11"/>
  <c r="K11" i="11"/>
  <c r="R11" i="11"/>
  <c r="R10" i="11"/>
  <c r="K10" i="11"/>
  <c r="K6" i="11"/>
  <c r="R6" i="11"/>
  <c r="B20" i="11"/>
  <c r="P18" i="11"/>
  <c r="R14" i="11"/>
  <c r="K14" i="11"/>
  <c r="K9" i="11"/>
  <c r="R9" i="11"/>
  <c r="K4" i="10"/>
  <c r="K12" i="10"/>
  <c r="R9" i="10"/>
  <c r="R5" i="10"/>
  <c r="R3" i="10"/>
  <c r="R7" i="10"/>
  <c r="K7" i="10"/>
  <c r="U11" i="10"/>
  <c r="Y10" i="10" s="1"/>
  <c r="K8" i="10"/>
  <c r="R8" i="10"/>
  <c r="R10" i="10"/>
  <c r="K10" i="10"/>
  <c r="K6" i="10"/>
  <c r="R6" i="10"/>
  <c r="J17" i="10"/>
  <c r="R17" i="10" s="1"/>
  <c r="Y4" i="10"/>
  <c r="Y8" i="10" s="1"/>
  <c r="Y11" i="10" s="1"/>
  <c r="Y16" i="10" s="1"/>
  <c r="Y19" i="10" s="1"/>
  <c r="Y21" i="10" s="1"/>
  <c r="Y22" i="10" s="1"/>
  <c r="Y23" i="10" s="1"/>
  <c r="K11" i="10"/>
  <c r="R11" i="10"/>
  <c r="K13" i="10"/>
  <c r="R13" i="10"/>
  <c r="M9" i="10"/>
  <c r="B18" i="10"/>
  <c r="A17" i="10"/>
  <c r="Q19" i="10"/>
  <c r="P18" i="10"/>
  <c r="B20" i="10"/>
  <c r="M7" i="9"/>
  <c r="O7" i="9" s="1"/>
  <c r="J4" i="9"/>
  <c r="R4" i="9" s="1"/>
  <c r="J14" i="9"/>
  <c r="R14" i="9" s="1"/>
  <c r="J15" i="9"/>
  <c r="K15" i="9" s="1"/>
  <c r="J11" i="9"/>
  <c r="R11" i="9" s="1"/>
  <c r="J16" i="9"/>
  <c r="K16" i="9" s="1"/>
  <c r="J12" i="9"/>
  <c r="R12" i="9" s="1"/>
  <c r="J3" i="9"/>
  <c r="R3" i="9" s="1"/>
  <c r="J6" i="9"/>
  <c r="R6" i="9" s="1"/>
  <c r="J7" i="9"/>
  <c r="R7" i="9" s="1"/>
  <c r="J5" i="9"/>
  <c r="K5" i="9" s="1"/>
  <c r="J9" i="9"/>
  <c r="R9" i="9" s="1"/>
  <c r="J13" i="9"/>
  <c r="K13" i="9" s="1"/>
  <c r="J8" i="9"/>
  <c r="R8" i="9" s="1"/>
  <c r="J10" i="9"/>
  <c r="K10" i="9" s="1"/>
  <c r="G17" i="9"/>
  <c r="E22" i="9"/>
  <c r="E24" i="9" s="1"/>
  <c r="P19" i="9"/>
  <c r="B20" i="9" s="1"/>
  <c r="A12" i="9"/>
  <c r="B22" i="9" s="1"/>
  <c r="M9" i="9"/>
  <c r="H17" i="9"/>
  <c r="N19" i="9"/>
  <c r="A20" i="9" s="1"/>
  <c r="A4" i="9"/>
  <c r="U4" i="9"/>
  <c r="J8" i="8"/>
  <c r="R8" i="8" s="1"/>
  <c r="R7" i="8"/>
  <c r="J12" i="8"/>
  <c r="R12" i="8" s="1"/>
  <c r="J13" i="8"/>
  <c r="K13" i="8" s="1"/>
  <c r="K10" i="8"/>
  <c r="M7" i="8"/>
  <c r="O7" i="8" s="1"/>
  <c r="G17" i="8"/>
  <c r="R13" i="8"/>
  <c r="N19" i="8"/>
  <c r="A20" i="8" s="1"/>
  <c r="H17" i="8"/>
  <c r="A3" i="8"/>
  <c r="P19" i="8"/>
  <c r="A12" i="8"/>
  <c r="B22" i="8" s="1"/>
  <c r="E22" i="8"/>
  <c r="E24" i="8" s="1"/>
  <c r="U4" i="8"/>
  <c r="K12" i="8"/>
  <c r="J4" i="8"/>
  <c r="J5" i="8"/>
  <c r="K8" i="8"/>
  <c r="J3" i="8"/>
  <c r="J9" i="8"/>
  <c r="J14" i="8"/>
  <c r="J6" i="8"/>
  <c r="J11" i="8"/>
  <c r="J9" i="7"/>
  <c r="K9" i="7" s="1"/>
  <c r="J3" i="7"/>
  <c r="J7" i="7"/>
  <c r="K7" i="7" s="1"/>
  <c r="J14" i="7"/>
  <c r="R14" i="7" s="1"/>
  <c r="J8" i="7"/>
  <c r="K8" i="7" s="1"/>
  <c r="J15" i="7"/>
  <c r="K15" i="7" s="1"/>
  <c r="R9" i="7"/>
  <c r="M9" i="7"/>
  <c r="G17" i="7"/>
  <c r="N19" i="7"/>
  <c r="A20" i="7" s="1"/>
  <c r="H17" i="7"/>
  <c r="A3" i="7"/>
  <c r="E22" i="7"/>
  <c r="E24" i="7" s="1"/>
  <c r="P19" i="7"/>
  <c r="A12" i="7"/>
  <c r="B22" i="7" s="1"/>
  <c r="K5" i="7"/>
  <c r="R5" i="7"/>
  <c r="K3" i="7"/>
  <c r="J6" i="7"/>
  <c r="J11" i="7"/>
  <c r="M17" i="7"/>
  <c r="J10" i="7"/>
  <c r="J13" i="7"/>
  <c r="R3" i="7"/>
  <c r="J12" i="7"/>
  <c r="J16" i="7"/>
  <c r="K16" i="7" s="1"/>
  <c r="J4" i="7"/>
  <c r="U11" i="7" s="1"/>
  <c r="Y10" i="7" s="1"/>
  <c r="J8" i="6"/>
  <c r="R8" i="6" s="1"/>
  <c r="J16" i="6"/>
  <c r="K16" i="6" s="1"/>
  <c r="J12" i="6"/>
  <c r="K12" i="6" s="1"/>
  <c r="J7" i="6"/>
  <c r="R7" i="6" s="1"/>
  <c r="R12" i="6"/>
  <c r="J15" i="6"/>
  <c r="K15" i="6" s="1"/>
  <c r="M7" i="6"/>
  <c r="O7" i="6" s="1"/>
  <c r="G17" i="6"/>
  <c r="K13" i="6"/>
  <c r="P19" i="6"/>
  <c r="A12" i="6"/>
  <c r="B22" i="6" s="1"/>
  <c r="E22" i="6"/>
  <c r="E24" i="6" s="1"/>
  <c r="N19" i="6"/>
  <c r="A20" i="6" s="1"/>
  <c r="H17" i="6"/>
  <c r="A3" i="6"/>
  <c r="J4" i="6"/>
  <c r="J5" i="6"/>
  <c r="J3" i="6"/>
  <c r="J9" i="6"/>
  <c r="J14" i="6"/>
  <c r="J6" i="6"/>
  <c r="J11" i="6"/>
  <c r="M17" i="6"/>
  <c r="J10" i="6"/>
  <c r="E23" i="5"/>
  <c r="I19" i="5"/>
  <c r="H19" i="5"/>
  <c r="G19" i="5"/>
  <c r="B19" i="5"/>
  <c r="A19" i="5"/>
  <c r="K18" i="5"/>
  <c r="Q17" i="5"/>
  <c r="P17" i="5"/>
  <c r="I17" i="5"/>
  <c r="J5" i="5" s="1"/>
  <c r="F17" i="5"/>
  <c r="E17" i="5"/>
  <c r="B17" i="5"/>
  <c r="G16" i="5"/>
  <c r="H16" i="5" s="1"/>
  <c r="A16" i="5" s="1"/>
  <c r="J15" i="5"/>
  <c r="K15" i="5" s="1"/>
  <c r="G15" i="5"/>
  <c r="H15" i="5" s="1"/>
  <c r="A15" i="5" s="1"/>
  <c r="G14" i="5"/>
  <c r="H14" i="5" s="1"/>
  <c r="A14" i="5" s="1"/>
  <c r="G13" i="5"/>
  <c r="H13" i="5" s="1"/>
  <c r="A13" i="5" s="1"/>
  <c r="G12" i="5"/>
  <c r="H12" i="5" s="1"/>
  <c r="H11" i="5"/>
  <c r="A11" i="5" s="1"/>
  <c r="G11" i="5"/>
  <c r="G10" i="5"/>
  <c r="H10" i="5" s="1"/>
  <c r="A10" i="5" s="1"/>
  <c r="G9" i="5"/>
  <c r="H9" i="5" s="1"/>
  <c r="A9" i="5" s="1"/>
  <c r="AA8" i="5"/>
  <c r="AA11" i="5" s="1"/>
  <c r="AA16" i="5" s="1"/>
  <c r="AA19" i="5" s="1"/>
  <c r="AA21" i="5" s="1"/>
  <c r="AA22" i="5" s="1"/>
  <c r="AA23" i="5" s="1"/>
  <c r="W8" i="5"/>
  <c r="W11" i="5" s="1"/>
  <c r="W16" i="5" s="1"/>
  <c r="W19" i="5" s="1"/>
  <c r="W21" i="5" s="1"/>
  <c r="W22" i="5" s="1"/>
  <c r="W23" i="5" s="1"/>
  <c r="P8" i="5"/>
  <c r="G8" i="5"/>
  <c r="H8" i="5" s="1"/>
  <c r="A8" i="5" s="1"/>
  <c r="G7" i="5"/>
  <c r="H7" i="5" s="1"/>
  <c r="J6" i="5"/>
  <c r="K6" i="5" s="1"/>
  <c r="H6" i="5"/>
  <c r="A6" i="5" s="1"/>
  <c r="G6" i="5"/>
  <c r="P5" i="5"/>
  <c r="M5" i="5"/>
  <c r="G5" i="5"/>
  <c r="H5" i="5" s="1"/>
  <c r="A5" i="5" s="1"/>
  <c r="G4" i="5"/>
  <c r="H4" i="5" s="1"/>
  <c r="A4" i="5" s="1"/>
  <c r="G3" i="5"/>
  <c r="H3" i="5" s="1"/>
  <c r="E23" i="3"/>
  <c r="I19" i="3"/>
  <c r="H19" i="3"/>
  <c r="G19" i="3"/>
  <c r="B19" i="3"/>
  <c r="A19" i="3"/>
  <c r="K18" i="3"/>
  <c r="Q17" i="3"/>
  <c r="P17" i="3"/>
  <c r="I17" i="3"/>
  <c r="J13" i="3" s="1"/>
  <c r="F17" i="3"/>
  <c r="E17" i="3"/>
  <c r="B17" i="3"/>
  <c r="G16" i="3"/>
  <c r="H16" i="3" s="1"/>
  <c r="A16" i="3" s="1"/>
  <c r="H15" i="3"/>
  <c r="G15" i="3"/>
  <c r="A15" i="3"/>
  <c r="G14" i="3"/>
  <c r="H14" i="3" s="1"/>
  <c r="A14" i="3" s="1"/>
  <c r="G13" i="3"/>
  <c r="H13" i="3" s="1"/>
  <c r="A13" i="3" s="1"/>
  <c r="G12" i="3"/>
  <c r="H12" i="3" s="1"/>
  <c r="W11" i="3"/>
  <c r="W16" i="3" s="1"/>
  <c r="W19" i="3" s="1"/>
  <c r="W21" i="3" s="1"/>
  <c r="W22" i="3" s="1"/>
  <c r="W23" i="3" s="1"/>
  <c r="G11" i="3"/>
  <c r="H11" i="3" s="1"/>
  <c r="A11" i="3" s="1"/>
  <c r="H10" i="3"/>
  <c r="G10" i="3"/>
  <c r="A10" i="3"/>
  <c r="G9" i="3"/>
  <c r="H9" i="3" s="1"/>
  <c r="A9" i="3" s="1"/>
  <c r="AA8" i="3"/>
  <c r="AA11" i="3" s="1"/>
  <c r="AA16" i="3" s="1"/>
  <c r="AA19" i="3" s="1"/>
  <c r="AA21" i="3" s="1"/>
  <c r="AA22" i="3" s="1"/>
  <c r="AA23" i="3" s="1"/>
  <c r="W8" i="3"/>
  <c r="P8" i="3"/>
  <c r="J8" i="3"/>
  <c r="R8" i="3" s="1"/>
  <c r="H8" i="3"/>
  <c r="A8" i="3" s="1"/>
  <c r="G8" i="3"/>
  <c r="H7" i="3"/>
  <c r="G7" i="3"/>
  <c r="G6" i="3"/>
  <c r="H6" i="3" s="1"/>
  <c r="A6" i="3" s="1"/>
  <c r="P5" i="3"/>
  <c r="M5" i="3"/>
  <c r="G5" i="3"/>
  <c r="H5" i="3" s="1"/>
  <c r="A5" i="3" s="1"/>
  <c r="G4" i="3"/>
  <c r="H4" i="3" s="1"/>
  <c r="A4" i="3" s="1"/>
  <c r="G3" i="3"/>
  <c r="H3" i="3" s="1"/>
  <c r="E23" i="4"/>
  <c r="I19" i="4"/>
  <c r="G19" i="4"/>
  <c r="H19" i="4" s="1"/>
  <c r="B19" i="4"/>
  <c r="A19" i="4"/>
  <c r="K18" i="4"/>
  <c r="Q17" i="4"/>
  <c r="P17" i="4"/>
  <c r="P18" i="4" s="1"/>
  <c r="I17" i="4"/>
  <c r="M17" i="4" s="1"/>
  <c r="G17" i="4"/>
  <c r="F17" i="4"/>
  <c r="E17" i="4"/>
  <c r="B17" i="4"/>
  <c r="H16" i="4"/>
  <c r="A16" i="4" s="1"/>
  <c r="G16" i="4"/>
  <c r="J15" i="4"/>
  <c r="K15" i="4" s="1"/>
  <c r="G15" i="4"/>
  <c r="H15" i="4" s="1"/>
  <c r="A15" i="4" s="1"/>
  <c r="G14" i="4"/>
  <c r="H14" i="4" s="1"/>
  <c r="R13" i="4"/>
  <c r="J13" i="4"/>
  <c r="K13" i="4" s="1"/>
  <c r="H13" i="4"/>
  <c r="A13" i="4" s="1"/>
  <c r="G13" i="4"/>
  <c r="H12" i="4"/>
  <c r="P19" i="4" s="1"/>
  <c r="G12" i="4"/>
  <c r="W11" i="4"/>
  <c r="W16" i="4" s="1"/>
  <c r="W19" i="4" s="1"/>
  <c r="W21" i="4" s="1"/>
  <c r="W22" i="4" s="1"/>
  <c r="W23" i="4" s="1"/>
  <c r="G11" i="4"/>
  <c r="H11" i="4" s="1"/>
  <c r="A11" i="4" s="1"/>
  <c r="R10" i="4"/>
  <c r="J10" i="4"/>
  <c r="K10" i="4" s="1"/>
  <c r="H10" i="4"/>
  <c r="A10" i="4" s="1"/>
  <c r="G10" i="4"/>
  <c r="G9" i="4"/>
  <c r="H9" i="4" s="1"/>
  <c r="A9" i="4" s="1"/>
  <c r="AA8" i="4"/>
  <c r="AA11" i="4" s="1"/>
  <c r="AA16" i="4" s="1"/>
  <c r="AA19" i="4" s="1"/>
  <c r="AA21" i="4" s="1"/>
  <c r="AA22" i="4" s="1"/>
  <c r="AA23" i="4" s="1"/>
  <c r="W8" i="4"/>
  <c r="P8" i="4"/>
  <c r="J8" i="4"/>
  <c r="R8" i="4" s="1"/>
  <c r="G8" i="4"/>
  <c r="H8" i="4" s="1"/>
  <c r="A8" i="4" s="1"/>
  <c r="R7" i="4"/>
  <c r="J7" i="4"/>
  <c r="K7" i="4" s="1"/>
  <c r="G7" i="4"/>
  <c r="H7" i="4" s="1"/>
  <c r="G6" i="4"/>
  <c r="H6" i="4" s="1"/>
  <c r="A6" i="4" s="1"/>
  <c r="P5" i="4"/>
  <c r="M7" i="4" s="1"/>
  <c r="M5" i="4"/>
  <c r="G5" i="4"/>
  <c r="H5" i="4" s="1"/>
  <c r="A5" i="4" s="1"/>
  <c r="G4" i="4"/>
  <c r="H4" i="4" s="1"/>
  <c r="A4" i="4" s="1"/>
  <c r="G3" i="4"/>
  <c r="H3" i="4" s="1"/>
  <c r="Y24" i="16" l="1"/>
  <c r="AA24" i="16" s="1"/>
  <c r="U17" i="16"/>
  <c r="U20" i="16" s="1"/>
  <c r="U22" i="16" s="1"/>
  <c r="U23" i="16" s="1"/>
  <c r="U24" i="16" s="1"/>
  <c r="N3" i="16" s="1"/>
  <c r="N5" i="16"/>
  <c r="Y24" i="15"/>
  <c r="AA24" i="15" s="1"/>
  <c r="U17" i="15"/>
  <c r="U20" i="15" s="1"/>
  <c r="U22" i="15" s="1"/>
  <c r="U23" i="15" s="1"/>
  <c r="U24" i="15" s="1"/>
  <c r="N3" i="15" s="1"/>
  <c r="N5" i="15"/>
  <c r="Y24" i="14"/>
  <c r="AA24" i="14" s="1"/>
  <c r="U17" i="14"/>
  <c r="U20" i="14" s="1"/>
  <c r="U22" i="14" s="1"/>
  <c r="U23" i="14" s="1"/>
  <c r="U24" i="14" s="1"/>
  <c r="N3" i="14" s="1"/>
  <c r="N5" i="14"/>
  <c r="K17" i="13"/>
  <c r="N17" i="13" s="1"/>
  <c r="O17" i="13" s="1"/>
  <c r="Y4" i="13"/>
  <c r="Y8" i="13" s="1"/>
  <c r="Y11" i="13" s="1"/>
  <c r="Y16" i="13" s="1"/>
  <c r="Y19" i="13" s="1"/>
  <c r="Y21" i="13" s="1"/>
  <c r="Y22" i="13" s="1"/>
  <c r="Y23" i="13" s="1"/>
  <c r="U9" i="13"/>
  <c r="U12" i="13" s="1"/>
  <c r="U9" i="12"/>
  <c r="U12" i="12" s="1"/>
  <c r="Y4" i="12"/>
  <c r="Y8" i="12" s="1"/>
  <c r="Y11" i="12" s="1"/>
  <c r="Y16" i="12" s="1"/>
  <c r="Y19" i="12" s="1"/>
  <c r="Y21" i="12" s="1"/>
  <c r="Y22" i="12" s="1"/>
  <c r="Y23" i="12" s="1"/>
  <c r="K17" i="12"/>
  <c r="N17" i="12" s="1"/>
  <c r="O17" i="12" s="1"/>
  <c r="U9" i="11"/>
  <c r="U12" i="11" s="1"/>
  <c r="Y4" i="11"/>
  <c r="Y8" i="11" s="1"/>
  <c r="Y11" i="11" s="1"/>
  <c r="Y16" i="11" s="1"/>
  <c r="Y19" i="11" s="1"/>
  <c r="Y21" i="11" s="1"/>
  <c r="Y22" i="11" s="1"/>
  <c r="Y23" i="11" s="1"/>
  <c r="K17" i="11"/>
  <c r="N17" i="11" s="1"/>
  <c r="O17" i="11" s="1"/>
  <c r="K17" i="10"/>
  <c r="N17" i="10" s="1"/>
  <c r="O17" i="10" s="1"/>
  <c r="U12" i="10"/>
  <c r="Y24" i="10"/>
  <c r="AA24" i="10" s="1"/>
  <c r="N5" i="10"/>
  <c r="U17" i="10"/>
  <c r="U20" i="10" s="1"/>
  <c r="U22" i="10" s="1"/>
  <c r="U23" i="10" s="1"/>
  <c r="U24" i="10" s="1"/>
  <c r="N3" i="10" s="1"/>
  <c r="U11" i="9"/>
  <c r="Y10" i="9" s="1"/>
  <c r="K11" i="9"/>
  <c r="R13" i="9"/>
  <c r="K14" i="9"/>
  <c r="K4" i="9"/>
  <c r="R5" i="9"/>
  <c r="K7" i="9"/>
  <c r="K9" i="9"/>
  <c r="K12" i="9"/>
  <c r="K3" i="9"/>
  <c r="R10" i="9"/>
  <c r="K6" i="9"/>
  <c r="K8" i="9"/>
  <c r="J17" i="9"/>
  <c r="R17" i="9" s="1"/>
  <c r="Q19" i="9"/>
  <c r="P18" i="9"/>
  <c r="B18" i="9"/>
  <c r="A17" i="9"/>
  <c r="U9" i="9"/>
  <c r="U12" i="9" s="1"/>
  <c r="Y4" i="9"/>
  <c r="Y8" i="9" s="1"/>
  <c r="Y11" i="9" s="1"/>
  <c r="Y16" i="9" s="1"/>
  <c r="Y19" i="9" s="1"/>
  <c r="Y21" i="9" s="1"/>
  <c r="Y22" i="9" s="1"/>
  <c r="Y23" i="9" s="1"/>
  <c r="M9" i="8"/>
  <c r="K6" i="8"/>
  <c r="R6" i="8"/>
  <c r="K14" i="8"/>
  <c r="R14" i="8"/>
  <c r="U9" i="8"/>
  <c r="Y4" i="8"/>
  <c r="Y8" i="8" s="1"/>
  <c r="Y11" i="8" s="1"/>
  <c r="Y16" i="8" s="1"/>
  <c r="Y19" i="8" s="1"/>
  <c r="Y21" i="8" s="1"/>
  <c r="Y22" i="8" s="1"/>
  <c r="Y23" i="8" s="1"/>
  <c r="B18" i="8"/>
  <c r="A17" i="8"/>
  <c r="K3" i="8"/>
  <c r="J17" i="8"/>
  <c r="R17" i="8" s="1"/>
  <c r="R3" i="8"/>
  <c r="K5" i="8"/>
  <c r="R5" i="8"/>
  <c r="U11" i="8"/>
  <c r="Y10" i="8" s="1"/>
  <c r="Q19" i="8"/>
  <c r="P18" i="8"/>
  <c r="K9" i="8"/>
  <c r="R9" i="8"/>
  <c r="R4" i="8"/>
  <c r="K4" i="8"/>
  <c r="R11" i="8"/>
  <c r="K11" i="8"/>
  <c r="B20" i="8"/>
  <c r="K14" i="7"/>
  <c r="R8" i="7"/>
  <c r="R7" i="7"/>
  <c r="J17" i="7"/>
  <c r="R17" i="7" s="1"/>
  <c r="Q19" i="7"/>
  <c r="P18" i="7"/>
  <c r="B20" i="7"/>
  <c r="R13" i="7"/>
  <c r="K13" i="7"/>
  <c r="K10" i="7"/>
  <c r="R10" i="7"/>
  <c r="R4" i="7"/>
  <c r="K4" i="7"/>
  <c r="U4" i="7"/>
  <c r="R11" i="7"/>
  <c r="K11" i="7"/>
  <c r="A17" i="7"/>
  <c r="B18" i="7"/>
  <c r="K12" i="7"/>
  <c r="R12" i="7"/>
  <c r="R6" i="7"/>
  <c r="K6" i="7"/>
  <c r="K8" i="6"/>
  <c r="K7" i="6"/>
  <c r="M9" i="6"/>
  <c r="Q19" i="6"/>
  <c r="R10" i="6"/>
  <c r="K10" i="6"/>
  <c r="R4" i="6"/>
  <c r="K4" i="6"/>
  <c r="K6" i="6"/>
  <c r="R6" i="6"/>
  <c r="R14" i="6"/>
  <c r="K14" i="6"/>
  <c r="K9" i="6"/>
  <c r="R9" i="6"/>
  <c r="B20" i="6"/>
  <c r="P18" i="6"/>
  <c r="U4" i="6"/>
  <c r="K5" i="6"/>
  <c r="U11" i="6"/>
  <c r="Y10" i="6" s="1"/>
  <c r="R5" i="6"/>
  <c r="K11" i="6"/>
  <c r="R11" i="6"/>
  <c r="K3" i="6"/>
  <c r="J17" i="6"/>
  <c r="R17" i="6" s="1"/>
  <c r="R3" i="6"/>
  <c r="B18" i="6"/>
  <c r="A17" i="6"/>
  <c r="J7" i="5"/>
  <c r="K7" i="5" s="1"/>
  <c r="J11" i="5"/>
  <c r="R11" i="5" s="1"/>
  <c r="J3" i="5"/>
  <c r="R3" i="5" s="1"/>
  <c r="J9" i="5"/>
  <c r="R9" i="5" s="1"/>
  <c r="J13" i="5"/>
  <c r="R13" i="5" s="1"/>
  <c r="J8" i="5"/>
  <c r="J10" i="5"/>
  <c r="R10" i="5" s="1"/>
  <c r="J14" i="5"/>
  <c r="R14" i="5" s="1"/>
  <c r="R7" i="5"/>
  <c r="M17" i="5"/>
  <c r="U4" i="5" s="1"/>
  <c r="Y4" i="5" s="1"/>
  <c r="Y8" i="5" s="1"/>
  <c r="G17" i="5"/>
  <c r="M7" i="5"/>
  <c r="O7" i="5" s="1"/>
  <c r="E22" i="5"/>
  <c r="E24" i="5" s="1"/>
  <c r="P19" i="5"/>
  <c r="A12" i="5"/>
  <c r="B22" i="5" s="1"/>
  <c r="H17" i="5"/>
  <c r="A3" i="5"/>
  <c r="N19" i="5"/>
  <c r="R5" i="5"/>
  <c r="K5" i="5"/>
  <c r="K9" i="5"/>
  <c r="K11" i="5"/>
  <c r="R6" i="5"/>
  <c r="J12" i="5"/>
  <c r="J16" i="5"/>
  <c r="K16" i="5" s="1"/>
  <c r="K3" i="5"/>
  <c r="J4" i="5"/>
  <c r="M7" i="3"/>
  <c r="O7" i="3" s="1"/>
  <c r="J16" i="3"/>
  <c r="K16" i="3" s="1"/>
  <c r="J12" i="3"/>
  <c r="R12" i="3" s="1"/>
  <c r="J7" i="3"/>
  <c r="R7" i="3" s="1"/>
  <c r="G17" i="3"/>
  <c r="P19" i="3"/>
  <c r="B20" i="3" s="1"/>
  <c r="A12" i="3"/>
  <c r="B22" i="3" s="1"/>
  <c r="E22" i="3"/>
  <c r="E24" i="3" s="1"/>
  <c r="N19" i="3"/>
  <c r="A20" i="3" s="1"/>
  <c r="H17" i="3"/>
  <c r="B18" i="3" s="1"/>
  <c r="A3" i="3"/>
  <c r="K13" i="3"/>
  <c r="R13" i="3"/>
  <c r="P18" i="3"/>
  <c r="K12" i="3"/>
  <c r="J5" i="3"/>
  <c r="J3" i="3"/>
  <c r="J9" i="3"/>
  <c r="J14" i="3"/>
  <c r="K8" i="3"/>
  <c r="J6" i="3"/>
  <c r="J11" i="3"/>
  <c r="M17" i="3"/>
  <c r="J15" i="3"/>
  <c r="K15" i="3" s="1"/>
  <c r="J4" i="3"/>
  <c r="J10" i="3"/>
  <c r="B20" i="4"/>
  <c r="H17" i="4"/>
  <c r="B18" i="4" s="1"/>
  <c r="N19" i="4"/>
  <c r="A20" i="4" s="1"/>
  <c r="A3" i="4"/>
  <c r="A17" i="4"/>
  <c r="E22" i="4"/>
  <c r="E24" i="4" s="1"/>
  <c r="A14" i="4"/>
  <c r="O7" i="4"/>
  <c r="M9" i="4"/>
  <c r="U4" i="4"/>
  <c r="J12" i="4"/>
  <c r="J16" i="4"/>
  <c r="K16" i="4" s="1"/>
  <c r="J4" i="4"/>
  <c r="J5" i="4"/>
  <c r="K8" i="4"/>
  <c r="J3" i="4"/>
  <c r="J9" i="4"/>
  <c r="A12" i="4"/>
  <c r="B22" i="4" s="1"/>
  <c r="J14" i="4"/>
  <c r="J6" i="4"/>
  <c r="J11" i="4"/>
  <c r="K18" i="2"/>
  <c r="O5" i="16" l="1"/>
  <c r="N9" i="16"/>
  <c r="O9" i="16" s="1"/>
  <c r="O5" i="15"/>
  <c r="N9" i="15"/>
  <c r="O9" i="15" s="1"/>
  <c r="O5" i="14"/>
  <c r="N9" i="14"/>
  <c r="O9" i="14" s="1"/>
  <c r="N5" i="13"/>
  <c r="U17" i="13"/>
  <c r="U20" i="13" s="1"/>
  <c r="U22" i="13" s="1"/>
  <c r="U23" i="13" s="1"/>
  <c r="U24" i="13" s="1"/>
  <c r="N3" i="13" s="1"/>
  <c r="Y24" i="13"/>
  <c r="AA24" i="13" s="1"/>
  <c r="Y24" i="12"/>
  <c r="AA24" i="12" s="1"/>
  <c r="N5" i="12"/>
  <c r="U17" i="12"/>
  <c r="U20" i="12" s="1"/>
  <c r="U22" i="12" s="1"/>
  <c r="U23" i="12" s="1"/>
  <c r="U24" i="12" s="1"/>
  <c r="N3" i="12" s="1"/>
  <c r="Y24" i="11"/>
  <c r="AA24" i="11" s="1"/>
  <c r="N5" i="11"/>
  <c r="U17" i="11"/>
  <c r="U20" i="11" s="1"/>
  <c r="U22" i="11" s="1"/>
  <c r="U23" i="11" s="1"/>
  <c r="U24" i="11" s="1"/>
  <c r="N3" i="11" s="1"/>
  <c r="N9" i="10"/>
  <c r="O9" i="10" s="1"/>
  <c r="O5" i="10"/>
  <c r="K17" i="9"/>
  <c r="N17" i="9" s="1"/>
  <c r="O17" i="9" s="1"/>
  <c r="U17" i="9"/>
  <c r="U20" i="9" s="1"/>
  <c r="U22" i="9" s="1"/>
  <c r="U23" i="9" s="1"/>
  <c r="U24" i="9" s="1"/>
  <c r="N3" i="9" s="1"/>
  <c r="N5" i="9"/>
  <c r="Y24" i="9"/>
  <c r="AA24" i="9" s="1"/>
  <c r="Y24" i="8"/>
  <c r="AA24" i="8" s="1"/>
  <c r="U12" i="8"/>
  <c r="K17" i="8"/>
  <c r="N17" i="8" s="1"/>
  <c r="O17" i="8" s="1"/>
  <c r="K17" i="7"/>
  <c r="N17" i="7" s="1"/>
  <c r="O17" i="7" s="1"/>
  <c r="U9" i="7"/>
  <c r="U12" i="7" s="1"/>
  <c r="Y4" i="7"/>
  <c r="Y8" i="7" s="1"/>
  <c r="Y11" i="7" s="1"/>
  <c r="Y16" i="7" s="1"/>
  <c r="Y19" i="7" s="1"/>
  <c r="Y21" i="7" s="1"/>
  <c r="Y22" i="7" s="1"/>
  <c r="Y23" i="7" s="1"/>
  <c r="U9" i="6"/>
  <c r="U12" i="6" s="1"/>
  <c r="Y4" i="6"/>
  <c r="Y8" i="6" s="1"/>
  <c r="Y11" i="6" s="1"/>
  <c r="Y16" i="6" s="1"/>
  <c r="Y19" i="6" s="1"/>
  <c r="Y21" i="6" s="1"/>
  <c r="Y22" i="6" s="1"/>
  <c r="Y23" i="6" s="1"/>
  <c r="K17" i="6"/>
  <c r="N17" i="6" s="1"/>
  <c r="O17" i="6" s="1"/>
  <c r="K14" i="5"/>
  <c r="K13" i="5"/>
  <c r="U9" i="5"/>
  <c r="K8" i="5"/>
  <c r="R8" i="5"/>
  <c r="K10" i="5"/>
  <c r="J17" i="5"/>
  <c r="R17" i="5" s="1"/>
  <c r="M9" i="5"/>
  <c r="B18" i="5"/>
  <c r="A17" i="5"/>
  <c r="R4" i="5"/>
  <c r="K4" i="5"/>
  <c r="U11" i="5"/>
  <c r="Y10" i="5" s="1"/>
  <c r="Y11" i="5" s="1"/>
  <c r="Y16" i="5" s="1"/>
  <c r="Y19" i="5" s="1"/>
  <c r="Y21" i="5" s="1"/>
  <c r="Y22" i="5" s="1"/>
  <c r="Y23" i="5" s="1"/>
  <c r="Q19" i="5"/>
  <c r="P18" i="5"/>
  <c r="R12" i="5"/>
  <c r="K12" i="5"/>
  <c r="M9" i="3"/>
  <c r="K7" i="3"/>
  <c r="A17" i="3"/>
  <c r="U4" i="3"/>
  <c r="R14" i="3"/>
  <c r="K14" i="3"/>
  <c r="K5" i="3"/>
  <c r="R5" i="3"/>
  <c r="U11" i="3"/>
  <c r="Y10" i="3" s="1"/>
  <c r="K6" i="3"/>
  <c r="R6" i="3"/>
  <c r="R10" i="3"/>
  <c r="K10" i="3"/>
  <c r="K11" i="3"/>
  <c r="R11" i="3"/>
  <c r="K9" i="3"/>
  <c r="R9" i="3"/>
  <c r="R4" i="3"/>
  <c r="K4" i="3"/>
  <c r="J17" i="3"/>
  <c r="R17" i="3" s="1"/>
  <c r="K3" i="3"/>
  <c r="R3" i="3"/>
  <c r="Q19" i="3"/>
  <c r="R12" i="4"/>
  <c r="K12" i="4"/>
  <c r="U9" i="4"/>
  <c r="Y4" i="4"/>
  <c r="Y8" i="4" s="1"/>
  <c r="K3" i="4"/>
  <c r="J17" i="4"/>
  <c r="R17" i="4" s="1"/>
  <c r="R3" i="4"/>
  <c r="R11" i="4"/>
  <c r="K11" i="4"/>
  <c r="R4" i="4"/>
  <c r="K4" i="4"/>
  <c r="K14" i="4"/>
  <c r="R14" i="4"/>
  <c r="K9" i="4"/>
  <c r="R9" i="4"/>
  <c r="U11" i="4"/>
  <c r="Y10" i="4" s="1"/>
  <c r="K5" i="4"/>
  <c r="R5" i="4"/>
  <c r="R6" i="4"/>
  <c r="K6" i="4"/>
  <c r="Q19" i="4"/>
  <c r="E23" i="2"/>
  <c r="I19" i="2"/>
  <c r="G19" i="2"/>
  <c r="H19" i="2" s="1"/>
  <c r="B19" i="2"/>
  <c r="A19" i="2"/>
  <c r="Q17" i="2"/>
  <c r="P17" i="2"/>
  <c r="I17" i="2"/>
  <c r="J14" i="2" s="1"/>
  <c r="F17" i="2"/>
  <c r="E17" i="2"/>
  <c r="B17" i="2"/>
  <c r="G16" i="2"/>
  <c r="H16" i="2" s="1"/>
  <c r="A16" i="2" s="1"/>
  <c r="G15" i="2"/>
  <c r="H15" i="2" s="1"/>
  <c r="A15" i="2" s="1"/>
  <c r="G14" i="2"/>
  <c r="H14" i="2" s="1"/>
  <c r="A14" i="2" s="1"/>
  <c r="G13" i="2"/>
  <c r="H13" i="2" s="1"/>
  <c r="A13" i="2" s="1"/>
  <c r="G12" i="2"/>
  <c r="H12" i="2" s="1"/>
  <c r="G11" i="2"/>
  <c r="H11" i="2" s="1"/>
  <c r="A11" i="2" s="1"/>
  <c r="G10" i="2"/>
  <c r="H10" i="2" s="1"/>
  <c r="A10" i="2" s="1"/>
  <c r="G9" i="2"/>
  <c r="H9" i="2" s="1"/>
  <c r="A9" i="2" s="1"/>
  <c r="AA8" i="2"/>
  <c r="AA11" i="2" s="1"/>
  <c r="AA16" i="2" s="1"/>
  <c r="AA19" i="2" s="1"/>
  <c r="AA21" i="2" s="1"/>
  <c r="AA22" i="2" s="1"/>
  <c r="AA23" i="2" s="1"/>
  <c r="W8" i="2"/>
  <c r="W11" i="2" s="1"/>
  <c r="W16" i="2" s="1"/>
  <c r="W19" i="2" s="1"/>
  <c r="W21" i="2" s="1"/>
  <c r="W22" i="2" s="1"/>
  <c r="W23" i="2" s="1"/>
  <c r="P8" i="2"/>
  <c r="G8" i="2"/>
  <c r="H8" i="2" s="1"/>
  <c r="A8" i="2" s="1"/>
  <c r="G7" i="2"/>
  <c r="H7" i="2" s="1"/>
  <c r="G6" i="2"/>
  <c r="H6" i="2" s="1"/>
  <c r="A6" i="2" s="1"/>
  <c r="P5" i="2"/>
  <c r="M5" i="2"/>
  <c r="G5" i="2"/>
  <c r="H5" i="2" s="1"/>
  <c r="A5" i="2" s="1"/>
  <c r="G4" i="2"/>
  <c r="H4" i="2" s="1"/>
  <c r="A4" i="2" s="1"/>
  <c r="G3" i="2"/>
  <c r="H3" i="2" s="1"/>
  <c r="H6" i="1"/>
  <c r="A8" i="1"/>
  <c r="N9" i="13" l="1"/>
  <c r="O9" i="13" s="1"/>
  <c r="O5" i="13"/>
  <c r="N9" i="12"/>
  <c r="O9" i="12" s="1"/>
  <c r="O5" i="12"/>
  <c r="N9" i="11"/>
  <c r="O9" i="11" s="1"/>
  <c r="O5" i="11"/>
  <c r="N9" i="9"/>
  <c r="O9" i="9" s="1"/>
  <c r="O5" i="9"/>
  <c r="U17" i="8"/>
  <c r="U20" i="8" s="1"/>
  <c r="U22" i="8" s="1"/>
  <c r="U23" i="8" s="1"/>
  <c r="U24" i="8" s="1"/>
  <c r="N3" i="8" s="1"/>
  <c r="N5" i="8"/>
  <c r="Y24" i="7"/>
  <c r="AA24" i="7" s="1"/>
  <c r="U17" i="7"/>
  <c r="U20" i="7" s="1"/>
  <c r="U22" i="7" s="1"/>
  <c r="U23" i="7" s="1"/>
  <c r="U24" i="7" s="1"/>
  <c r="N3" i="7" s="1"/>
  <c r="N5" i="7"/>
  <c r="Y24" i="6"/>
  <c r="AA24" i="6" s="1"/>
  <c r="N5" i="6"/>
  <c r="U17" i="6"/>
  <c r="U20" i="6" s="1"/>
  <c r="U22" i="6" s="1"/>
  <c r="U23" i="6" s="1"/>
  <c r="U24" i="6" s="1"/>
  <c r="N3" i="6" s="1"/>
  <c r="K17" i="5"/>
  <c r="N17" i="5" s="1"/>
  <c r="O17" i="5" s="1"/>
  <c r="Y24" i="5"/>
  <c r="AA24" i="5" s="1"/>
  <c r="U12" i="5"/>
  <c r="K17" i="3"/>
  <c r="N17" i="3" s="1"/>
  <c r="O17" i="3" s="1"/>
  <c r="Y4" i="3"/>
  <c r="Y8" i="3" s="1"/>
  <c r="Y11" i="3" s="1"/>
  <c r="Y16" i="3" s="1"/>
  <c r="Y19" i="3" s="1"/>
  <c r="Y21" i="3" s="1"/>
  <c r="Y22" i="3" s="1"/>
  <c r="Y23" i="3" s="1"/>
  <c r="U9" i="3"/>
  <c r="U12" i="3" s="1"/>
  <c r="Y11" i="4"/>
  <c r="Y16" i="4" s="1"/>
  <c r="Y19" i="4" s="1"/>
  <c r="Y21" i="4" s="1"/>
  <c r="Y22" i="4" s="1"/>
  <c r="Y23" i="4" s="1"/>
  <c r="U12" i="4"/>
  <c r="K17" i="4"/>
  <c r="N17" i="4" s="1"/>
  <c r="O17" i="4" s="1"/>
  <c r="J16" i="2"/>
  <c r="K16" i="2" s="1"/>
  <c r="J6" i="2"/>
  <c r="R6" i="2" s="1"/>
  <c r="J11" i="2"/>
  <c r="K11" i="2" s="1"/>
  <c r="J12" i="2"/>
  <c r="R12" i="2" s="1"/>
  <c r="M17" i="2"/>
  <c r="U4" i="2" s="1"/>
  <c r="J7" i="2"/>
  <c r="J13" i="2"/>
  <c r="R13" i="2" s="1"/>
  <c r="J10" i="2"/>
  <c r="R10" i="2" s="1"/>
  <c r="J8" i="2"/>
  <c r="M7" i="2"/>
  <c r="O7" i="2" s="1"/>
  <c r="G17" i="2"/>
  <c r="N19" i="2"/>
  <c r="A20" i="2" s="1"/>
  <c r="A3" i="2"/>
  <c r="H17" i="2"/>
  <c r="R14" i="2"/>
  <c r="K14" i="2"/>
  <c r="A12" i="2"/>
  <c r="B22" i="2" s="1"/>
  <c r="E22" i="2"/>
  <c r="E24" i="2" s="1"/>
  <c r="P19" i="2"/>
  <c r="B20" i="2" s="1"/>
  <c r="M9" i="2"/>
  <c r="J15" i="2"/>
  <c r="K15" i="2" s="1"/>
  <c r="J5" i="2"/>
  <c r="J4" i="2"/>
  <c r="J3" i="2"/>
  <c r="J9" i="2"/>
  <c r="E23" i="1"/>
  <c r="I19" i="1"/>
  <c r="G19" i="1"/>
  <c r="H19" i="1" s="1"/>
  <c r="B19" i="1"/>
  <c r="A19" i="1"/>
  <c r="K18" i="1"/>
  <c r="Q17" i="1"/>
  <c r="P17" i="1"/>
  <c r="I17" i="1"/>
  <c r="F17" i="1"/>
  <c r="E17" i="1"/>
  <c r="B17" i="1"/>
  <c r="W16" i="1"/>
  <c r="W19" i="1" s="1"/>
  <c r="W21" i="1" s="1"/>
  <c r="W22" i="1" s="1"/>
  <c r="W23" i="1" s="1"/>
  <c r="G16" i="1"/>
  <c r="H16" i="1" s="1"/>
  <c r="A16" i="1" s="1"/>
  <c r="H15" i="1"/>
  <c r="A15" i="1" s="1"/>
  <c r="G15" i="1"/>
  <c r="G14" i="1"/>
  <c r="H14" i="1" s="1"/>
  <c r="A14" i="1" s="1"/>
  <c r="G13" i="1"/>
  <c r="H13" i="1" s="1"/>
  <c r="A13" i="1" s="1"/>
  <c r="G12" i="1"/>
  <c r="H12" i="1" s="1"/>
  <c r="AA11" i="1"/>
  <c r="AA16" i="1" s="1"/>
  <c r="AA19" i="1" s="1"/>
  <c r="AA21" i="1" s="1"/>
  <c r="AA22" i="1" s="1"/>
  <c r="AA23" i="1" s="1"/>
  <c r="W11" i="1"/>
  <c r="G11" i="1"/>
  <c r="H11" i="1" s="1"/>
  <c r="A11" i="1" s="1"/>
  <c r="G10" i="1"/>
  <c r="H10" i="1" s="1"/>
  <c r="A10" i="1" s="1"/>
  <c r="G9" i="1"/>
  <c r="H9" i="1" s="1"/>
  <c r="A9" i="1" s="1"/>
  <c r="AA8" i="1"/>
  <c r="W8" i="1"/>
  <c r="P8" i="1"/>
  <c r="G8" i="1"/>
  <c r="H8" i="1" s="1"/>
  <c r="H7" i="1"/>
  <c r="G7" i="1"/>
  <c r="G6" i="1"/>
  <c r="A6" i="1" s="1"/>
  <c r="P5" i="1"/>
  <c r="M5" i="1"/>
  <c r="G5" i="1"/>
  <c r="H5" i="1" s="1"/>
  <c r="A5" i="1" s="1"/>
  <c r="G4" i="1"/>
  <c r="H4" i="1" s="1"/>
  <c r="A4" i="1" s="1"/>
  <c r="G3" i="1"/>
  <c r="H3" i="1" s="1"/>
  <c r="N9" i="8" l="1"/>
  <c r="O9" i="8" s="1"/>
  <c r="O5" i="8"/>
  <c r="N9" i="7"/>
  <c r="O9" i="7" s="1"/>
  <c r="O5" i="7"/>
  <c r="O5" i="6"/>
  <c r="N9" i="6"/>
  <c r="O9" i="6" s="1"/>
  <c r="U17" i="5"/>
  <c r="U20" i="5" s="1"/>
  <c r="U22" i="5" s="1"/>
  <c r="U23" i="5" s="1"/>
  <c r="U24" i="5" s="1"/>
  <c r="N3" i="5" s="1"/>
  <c r="N5" i="5"/>
  <c r="Y24" i="3"/>
  <c r="AA24" i="3" s="1"/>
  <c r="N5" i="3"/>
  <c r="U17" i="3"/>
  <c r="U20" i="3" s="1"/>
  <c r="U22" i="3" s="1"/>
  <c r="U23" i="3" s="1"/>
  <c r="U24" i="3" s="1"/>
  <c r="N3" i="3" s="1"/>
  <c r="Y24" i="4"/>
  <c r="AA24" i="4" s="1"/>
  <c r="U17" i="4"/>
  <c r="U20" i="4" s="1"/>
  <c r="U22" i="4" s="1"/>
  <c r="U23" i="4" s="1"/>
  <c r="U24" i="4" s="1"/>
  <c r="N3" i="4" s="1"/>
  <c r="N5" i="4"/>
  <c r="R11" i="2"/>
  <c r="B18" i="2"/>
  <c r="A17" i="2"/>
  <c r="K6" i="2"/>
  <c r="K13" i="2"/>
  <c r="K12" i="2"/>
  <c r="K10" i="2"/>
  <c r="K8" i="2"/>
  <c r="R8" i="2"/>
  <c r="K7" i="2"/>
  <c r="R7" i="2"/>
  <c r="Q19" i="2"/>
  <c r="P18" i="2"/>
  <c r="K5" i="2"/>
  <c r="R5" i="2"/>
  <c r="U11" i="2"/>
  <c r="Y10" i="2" s="1"/>
  <c r="K9" i="2"/>
  <c r="R9" i="2"/>
  <c r="K3" i="2"/>
  <c r="J17" i="2"/>
  <c r="R17" i="2" s="1"/>
  <c r="R3" i="2"/>
  <c r="K4" i="2"/>
  <c r="R4" i="2"/>
  <c r="U9" i="2"/>
  <c r="U12" i="2" s="1"/>
  <c r="Y4" i="2"/>
  <c r="Y8" i="2" s="1"/>
  <c r="J6" i="1"/>
  <c r="J15" i="1"/>
  <c r="K15" i="1" s="1"/>
  <c r="J7" i="1"/>
  <c r="R7" i="1" s="1"/>
  <c r="J16" i="1"/>
  <c r="K16" i="1" s="1"/>
  <c r="J9" i="1"/>
  <c r="J3" i="1"/>
  <c r="J11" i="1"/>
  <c r="J8" i="1"/>
  <c r="R8" i="1" s="1"/>
  <c r="J12" i="1"/>
  <c r="J5" i="1"/>
  <c r="K5" i="1" s="1"/>
  <c r="J13" i="1"/>
  <c r="K13" i="1" s="1"/>
  <c r="J4" i="1"/>
  <c r="J14" i="1"/>
  <c r="J10" i="1"/>
  <c r="M7" i="1"/>
  <c r="O7" i="1" s="1"/>
  <c r="R4" i="1"/>
  <c r="G17" i="1"/>
  <c r="H17" i="1"/>
  <c r="A3" i="1"/>
  <c r="N19" i="1"/>
  <c r="A20" i="1" s="1"/>
  <c r="A12" i="1"/>
  <c r="B22" i="1" s="1"/>
  <c r="P19" i="1"/>
  <c r="P18" i="1" s="1"/>
  <c r="E22" i="1"/>
  <c r="E24" i="1" s="1"/>
  <c r="R13" i="1"/>
  <c r="M17" i="1"/>
  <c r="N9" i="5" l="1"/>
  <c r="O9" i="5" s="1"/>
  <c r="O5" i="5"/>
  <c r="N9" i="3"/>
  <c r="O9" i="3" s="1"/>
  <c r="O5" i="3"/>
  <c r="N9" i="4"/>
  <c r="O9" i="4" s="1"/>
  <c r="O5" i="4"/>
  <c r="Y11" i="2"/>
  <c r="Y16" i="2" s="1"/>
  <c r="Y19" i="2" s="1"/>
  <c r="Y21" i="2" s="1"/>
  <c r="Y22" i="2" s="1"/>
  <c r="Y23" i="2" s="1"/>
  <c r="Y24" i="2" s="1"/>
  <c r="AA24" i="2" s="1"/>
  <c r="N5" i="2"/>
  <c r="U17" i="2"/>
  <c r="U20" i="2" s="1"/>
  <c r="U22" i="2" s="1"/>
  <c r="U23" i="2" s="1"/>
  <c r="U24" i="2" s="1"/>
  <c r="N3" i="2" s="1"/>
  <c r="K17" i="2"/>
  <c r="N17" i="2" s="1"/>
  <c r="O17" i="2" s="1"/>
  <c r="M9" i="1"/>
  <c r="K8" i="1"/>
  <c r="R5" i="1"/>
  <c r="K4" i="1"/>
  <c r="U11" i="1"/>
  <c r="Y10" i="1" s="1"/>
  <c r="K7" i="1"/>
  <c r="K11" i="1"/>
  <c r="R11" i="1"/>
  <c r="Q19" i="1"/>
  <c r="B20" i="1"/>
  <c r="R3" i="1"/>
  <c r="K3" i="1"/>
  <c r="J17" i="1"/>
  <c r="R17" i="1" s="1"/>
  <c r="B18" i="1"/>
  <c r="A17" i="1"/>
  <c r="R10" i="1"/>
  <c r="K10" i="1"/>
  <c r="K12" i="1"/>
  <c r="R12" i="1"/>
  <c r="R14" i="1"/>
  <c r="K14" i="1"/>
  <c r="U4" i="1"/>
  <c r="R9" i="1"/>
  <c r="K9" i="1"/>
  <c r="R6" i="1"/>
  <c r="K6" i="1"/>
  <c r="N9" i="2" l="1"/>
  <c r="O9" i="2" s="1"/>
  <c r="O5" i="2"/>
  <c r="K17" i="1"/>
  <c r="N17" i="1" s="1"/>
  <c r="O17" i="1" s="1"/>
  <c r="Y4" i="1"/>
  <c r="Y8" i="1" s="1"/>
  <c r="Y11" i="1" s="1"/>
  <c r="Y16" i="1" s="1"/>
  <c r="Y19" i="1" s="1"/>
  <c r="Y21" i="1" s="1"/>
  <c r="Y22" i="1" s="1"/>
  <c r="Y23" i="1" s="1"/>
  <c r="U9" i="1"/>
  <c r="U12" i="1" s="1"/>
  <c r="N5" i="1" l="1"/>
  <c r="U17" i="1"/>
  <c r="U20" i="1" s="1"/>
  <c r="U22" i="1" s="1"/>
  <c r="U23" i="1" s="1"/>
  <c r="U24" i="1" s="1"/>
  <c r="N3" i="1" s="1"/>
  <c r="Y24" i="1"/>
  <c r="AA24" i="1" s="1"/>
  <c r="O5" i="1" l="1"/>
  <c r="N9" i="1"/>
  <c r="O9" i="1" s="1"/>
</calcChain>
</file>

<file path=xl/sharedStrings.xml><?xml version="1.0" encoding="utf-8"?>
<sst xmlns="http://schemas.openxmlformats.org/spreadsheetml/2006/main" count="1793" uniqueCount="99">
  <si>
    <t>ACTUAL/ PROD</t>
  </si>
  <si>
    <t xml:space="preserve">BILLET END CUT </t>
  </si>
  <si>
    <t xml:space="preserve">Melt Rate </t>
  </si>
  <si>
    <t>SCRAP PERCENTAGE</t>
  </si>
  <si>
    <t>DIFFERENCE</t>
  </si>
  <si>
    <t>PHYSICAL</t>
  </si>
  <si>
    <t>Sr No.</t>
  </si>
  <si>
    <t>PARTICULAR</t>
  </si>
  <si>
    <t>OPENING</t>
  </si>
  <si>
    <t>RECEIVED</t>
  </si>
  <si>
    <t>TOTAL</t>
  </si>
  <si>
    <t>CLOSING</t>
  </si>
  <si>
    <t>USE</t>
  </si>
  <si>
    <t>% USE</t>
  </si>
  <si>
    <t>METAL CON</t>
  </si>
  <si>
    <t>YIELD</t>
  </si>
  <si>
    <t>TOTAL/PRO</t>
  </si>
  <si>
    <t>TARGET /PRO</t>
  </si>
  <si>
    <t xml:space="preserve">TARGET% </t>
  </si>
  <si>
    <t>EXTRA+/-</t>
  </si>
  <si>
    <t>SL NO</t>
  </si>
  <si>
    <t>MODEL</t>
  </si>
  <si>
    <t>MT GREEN</t>
  </si>
  <si>
    <t>LUMPS</t>
  </si>
  <si>
    <t xml:space="preserve">I/F UNIT </t>
  </si>
  <si>
    <t>I/F AUX</t>
  </si>
  <si>
    <t>FURNACE CAPACITY</t>
  </si>
  <si>
    <t>FINES</t>
  </si>
  <si>
    <t>ACTUAL UNIT</t>
  </si>
  <si>
    <t>TARGET UNIT</t>
  </si>
  <si>
    <t>SCRAP YIELD - %</t>
  </si>
  <si>
    <t>PELLETS</t>
  </si>
  <si>
    <t>RAW MATERIAL -</t>
  </si>
  <si>
    <t>as per sheet2</t>
  </si>
  <si>
    <t>PIG IRON</t>
  </si>
  <si>
    <t>ACTUAL/AUX</t>
  </si>
  <si>
    <t>AX/DF/UNIT</t>
  </si>
  <si>
    <t>CARBON ON L.M</t>
  </si>
  <si>
    <t>0.2 to 0.25</t>
  </si>
  <si>
    <t>0.08 to 0.15</t>
  </si>
  <si>
    <t>PIG IRON SPLASHES</t>
  </si>
  <si>
    <t>MEGATHERM UPT ON 100%</t>
  </si>
  <si>
    <t>C I MIX SCRAP</t>
  </si>
  <si>
    <t>TOTAL AC/UNIT</t>
  </si>
  <si>
    <t>TOTAL TE/UNIT</t>
  </si>
  <si>
    <t>DIFR/UNIT</t>
  </si>
  <si>
    <t>MEGATHERM UPT AS PER AVAILABLE YIELD</t>
  </si>
  <si>
    <t>CI SKUL</t>
  </si>
  <si>
    <t>3.A</t>
  </si>
  <si>
    <t>ADDITIONAL POWER @1660</t>
  </si>
  <si>
    <t xml:space="preserve">OVER SIZE MAG </t>
  </si>
  <si>
    <t>3.B</t>
  </si>
  <si>
    <t>Extra Power for Sponge iron Pellet Melting</t>
  </si>
  <si>
    <t>GRANULES OF PIG IRON</t>
  </si>
  <si>
    <t>PELLETS EXTRA UNIT</t>
  </si>
  <si>
    <t>TOTAL UNITS</t>
  </si>
  <si>
    <t>SCRAP</t>
  </si>
  <si>
    <t>3.C</t>
  </si>
  <si>
    <t>LINING LIFE</t>
  </si>
  <si>
    <t>0.220 mt transfer to strip mill</t>
  </si>
  <si>
    <t>MAG MATERIAL SLAG</t>
  </si>
  <si>
    <t xml:space="preserve">HEAT </t>
  </si>
  <si>
    <t xml:space="preserve">     </t>
  </si>
  <si>
    <t>POWER</t>
  </si>
  <si>
    <t>MS SCRAP ROLLING MILL</t>
  </si>
  <si>
    <t>LOAD FACTOR</t>
  </si>
  <si>
    <t>MS SCRAP INSIDE</t>
  </si>
  <si>
    <t>ACTUAL/YIELD</t>
  </si>
  <si>
    <t>TARGET/YIELD</t>
  </si>
  <si>
    <t>DIFR/YIELD</t>
  </si>
  <si>
    <t>MELT RATE</t>
  </si>
  <si>
    <t>TONNAGE AVERAGE</t>
  </si>
  <si>
    <t>Percentage</t>
  </si>
  <si>
    <t>SLAG JAAM</t>
  </si>
  <si>
    <t>-</t>
  </si>
  <si>
    <t xml:space="preserve">SPONGE IRON ERP STOCK </t>
  </si>
  <si>
    <t>SCRAP ERP STOCK</t>
  </si>
  <si>
    <t>HEAT TIME - MINS</t>
  </si>
  <si>
    <t>LOSS OF TIME  IN MIN ON A/C  SLAG OFF  2 TIMES 6MIN, TEMP CHECKING 2 MIN, TAPPING TIME 3 MIN, BACK 1MIN, LINING INSPECTION 2 MINTILTING</t>
  </si>
  <si>
    <t>TOTAL HEAT TIME</t>
  </si>
  <si>
    <t>HEATS PER DAY</t>
  </si>
  <si>
    <t>DAILY PRODUCTION -T</t>
  </si>
  <si>
    <t>Auxulary unit Terget</t>
  </si>
  <si>
    <t>DAILY  CONSUMPTION  REPORT JUNE DATE 01-10-2026</t>
  </si>
  <si>
    <t>DAILY  CONSUMPTION  REPORT JUNE DATE 02-10-2026</t>
  </si>
  <si>
    <t>DAILY  CONSUMPTION  REPORT JUNE DATE 03-10-2026</t>
  </si>
  <si>
    <t>DAILY  CONSUMPTION  REPORT JUNE DATE 04-10-2026</t>
  </si>
  <si>
    <t>DAILY  CONSUMPTION  REPORT JUNE DATE 05-10-2026</t>
  </si>
  <si>
    <t>DAILY  CONSUMPTION  REPORT JUNE DATE 06-10-2026</t>
  </si>
  <si>
    <t>DAILY  CONSUMPTION  REPORT JUNE DATE 07-10-2026</t>
  </si>
  <si>
    <t>DAILY  CONSUMPTION  REPORT JUNE DATE 08-10-2026</t>
  </si>
  <si>
    <t>DAILY  CONSUMPTION  REPORT JUNE DATE 09-10-2026</t>
  </si>
  <si>
    <t>DAILY  CONSUMPTION  REPORT JUNE DATE 10-10-2026</t>
  </si>
  <si>
    <t>DAILY  CONSUMPTION  REPORT JUNE DATE 11-10-2026</t>
  </si>
  <si>
    <t>DAILY  CONSUMPTION  REPORT JUNE DATE 12-10-2026</t>
  </si>
  <si>
    <t>DAILY  CONSUMPTION  REPORT JUNE DATE 13-10-2026</t>
  </si>
  <si>
    <t>DAILY  CONSUMPTION  REPORT JUNE DATE 15-10-2026</t>
  </si>
  <si>
    <t>DAILY  CONSUMPTION  REPORT JUNE DATE 14-10-2026</t>
  </si>
  <si>
    <t>DAILY  CONSUMPTION  REPORT JUNE DATE 16-10-2026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</si>
</sst>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00"/>
    <numFmt numFmtId="165" formatCode="0.0"/>
    <numFmt numFmtId="166" formatCode="0.000%"/>
    <numFmt numFmtId="167" formatCode="_ * #,##0.000_ ;_ * \-#,##0.0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3" fillId="2" borderId="1" xfId="0" applyFont="1" applyFill="1" applyBorder="1"/>
    <xf numFmtId="0" fontId="4" fillId="0" borderId="0" xfId="0" applyFont="1"/>
    <xf numFmtId="0" fontId="0" fillId="0" borderId="1" xfId="0" applyBorder="1"/>
    <xf numFmtId="9" fontId="0" fillId="0" borderId="1" xfId="0" applyNumberFormat="1" applyBorder="1"/>
    <xf numFmtId="9" fontId="0" fillId="0" borderId="0" xfId="0" applyNumberFormat="1"/>
    <xf numFmtId="0" fontId="3" fillId="0" borderId="1" xfId="0" applyFont="1" applyBorder="1"/>
    <xf numFmtId="0" fontId="3" fillId="3" borderId="1" xfId="0" applyFont="1" applyFill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/>
    </xf>
    <xf numFmtId="164" fontId="5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5" fillId="0" borderId="6" xfId="0" applyFont="1" applyBorder="1" applyAlignment="1">
      <alignment horizontal="left" vertical="top"/>
    </xf>
    <xf numFmtId="0" fontId="5" fillId="0" borderId="6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3" fillId="0" borderId="0" xfId="0" applyFont="1"/>
    <xf numFmtId="0" fontId="4" fillId="0" borderId="7" xfId="0" applyFont="1" applyBorder="1" applyAlignment="1">
      <alignment horizontal="center"/>
    </xf>
    <xf numFmtId="0" fontId="4" fillId="0" borderId="8" xfId="0" applyFont="1" applyBorder="1"/>
    <xf numFmtId="0" fontId="3" fillId="0" borderId="9" xfId="0" applyFont="1" applyBorder="1"/>
    <xf numFmtId="0" fontId="3" fillId="0" borderId="7" xfId="0" applyFont="1" applyBorder="1"/>
    <xf numFmtId="164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wrapText="1"/>
    </xf>
    <xf numFmtId="164" fontId="3" fillId="0" borderId="1" xfId="0" applyNumberFormat="1" applyFont="1" applyBorder="1"/>
    <xf numFmtId="43" fontId="3" fillId="0" borderId="1" xfId="1" applyFont="1" applyFill="1" applyBorder="1"/>
    <xf numFmtId="43" fontId="3" fillId="0" borderId="1" xfId="0" applyNumberFormat="1" applyFont="1" applyBorder="1"/>
    <xf numFmtId="2" fontId="3" fillId="0" borderId="1" xfId="0" applyNumberFormat="1" applyFont="1" applyBorder="1"/>
    <xf numFmtId="0" fontId="3" fillId="0" borderId="10" xfId="0" applyFont="1" applyBorder="1"/>
    <xf numFmtId="0" fontId="3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3" fillId="0" borderId="1" xfId="0" applyNumberFormat="1" applyFont="1" applyBorder="1"/>
    <xf numFmtId="2" fontId="3" fillId="0" borderId="1" xfId="3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164" fontId="6" fillId="0" borderId="1" xfId="3" applyNumberFormat="1" applyFont="1" applyFill="1" applyBorder="1" applyAlignment="1">
      <alignment horizontal="center"/>
    </xf>
    <xf numFmtId="0" fontId="3" fillId="0" borderId="1" xfId="3" applyNumberFormat="1" applyFont="1" applyFill="1" applyBorder="1" applyAlignment="1">
      <alignment horizontal="center"/>
    </xf>
    <xf numFmtId="0" fontId="6" fillId="0" borderId="1" xfId="3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4" borderId="11" xfId="0" applyFont="1" applyFill="1" applyBorder="1"/>
    <xf numFmtId="0" fontId="3" fillId="4" borderId="0" xfId="0" applyFont="1" applyFill="1"/>
    <xf numFmtId="1" fontId="6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wrapText="1"/>
    </xf>
    <xf numFmtId="0" fontId="6" fillId="0" borderId="1" xfId="0" applyFont="1" applyBorder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165" fontId="3" fillId="0" borderId="1" xfId="0" applyNumberFormat="1" applyFont="1" applyBorder="1"/>
    <xf numFmtId="9" fontId="6" fillId="0" borderId="1" xfId="3" applyFont="1" applyFill="1" applyBorder="1" applyAlignment="1">
      <alignment horizontal="center"/>
    </xf>
    <xf numFmtId="9" fontId="3" fillId="0" borderId="1" xfId="0" applyNumberFormat="1" applyFont="1" applyBorder="1"/>
    <xf numFmtId="9" fontId="3" fillId="0" borderId="1" xfId="3" applyFont="1" applyFill="1" applyBorder="1" applyAlignment="1">
      <alignment horizontal="center"/>
    </xf>
    <xf numFmtId="0" fontId="6" fillId="0" borderId="1" xfId="0" applyFont="1" applyBorder="1" applyAlignment="1">
      <alignment horizontal="left" vertical="top"/>
    </xf>
    <xf numFmtId="2" fontId="6" fillId="0" borderId="1" xfId="2" applyNumberFormat="1" applyFont="1" applyFill="1" applyBorder="1" applyAlignment="1">
      <alignment horizontal="center" vertical="top"/>
    </xf>
    <xf numFmtId="164" fontId="4" fillId="3" borderId="1" xfId="0" applyNumberFormat="1" applyFont="1" applyFill="1" applyBorder="1"/>
    <xf numFmtId="43" fontId="3" fillId="0" borderId="1" xfId="0" applyNumberFormat="1" applyFont="1" applyBorder="1" applyAlignment="1">
      <alignment wrapText="1"/>
    </xf>
    <xf numFmtId="2" fontId="3" fillId="0" borderId="1" xfId="2" applyNumberFormat="1" applyFont="1" applyFill="1" applyBorder="1" applyAlignment="1">
      <alignment horizontal="center"/>
    </xf>
    <xf numFmtId="164" fontId="4" fillId="0" borderId="1" xfId="0" applyNumberFormat="1" applyFont="1" applyBorder="1"/>
    <xf numFmtId="164" fontId="3" fillId="3" borderId="1" xfId="0" applyNumberFormat="1" applyFont="1" applyFill="1" applyBorder="1"/>
    <xf numFmtId="166" fontId="3" fillId="0" borderId="1" xfId="0" applyNumberFormat="1" applyFont="1" applyBorder="1"/>
    <xf numFmtId="43" fontId="3" fillId="0" borderId="1" xfId="1" applyFont="1" applyFill="1" applyBorder="1" applyAlignment="1">
      <alignment wrapText="1"/>
    </xf>
    <xf numFmtId="164" fontId="8" fillId="0" borderId="1" xfId="0" applyNumberFormat="1" applyFont="1" applyBorder="1"/>
    <xf numFmtId="167" fontId="9" fillId="0" borderId="1" xfId="0" applyNumberFormat="1" applyFont="1" applyBorder="1"/>
    <xf numFmtId="0" fontId="4" fillId="0" borderId="1" xfId="0" applyFont="1" applyBorder="1"/>
    <xf numFmtId="165" fontId="6" fillId="0" borderId="1" xfId="0" applyNumberFormat="1" applyFont="1" applyBorder="1" applyAlignment="1">
      <alignment horizontal="center"/>
    </xf>
    <xf numFmtId="167" fontId="3" fillId="0" borderId="1" xfId="0" applyNumberFormat="1" applyFont="1" applyBorder="1"/>
    <xf numFmtId="165" fontId="3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167" fontId="5" fillId="0" borderId="0" xfId="0" applyNumberFormat="1" applyFont="1" applyAlignment="1">
      <alignment horizontal="center" vertical="center" wrapText="1"/>
    </xf>
    <xf numFmtId="164" fontId="4" fillId="0" borderId="0" xfId="0" applyNumberFormat="1" applyFont="1"/>
    <xf numFmtId="2" fontId="6" fillId="0" borderId="1" xfId="0" applyNumberFormat="1" applyFont="1" applyBorder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 vertical="center"/>
    </xf>
    <xf numFmtId="2" fontId="3" fillId="0" borderId="1" xfId="0" applyNumberFormat="1" applyFont="1" applyBorder="1" applyAlignment="1">
      <alignment horizontal="center" wrapText="1"/>
    </xf>
    <xf numFmtId="164" fontId="6" fillId="0" borderId="1" xfId="0" applyNumberFormat="1" applyFont="1" applyBorder="1" applyAlignment="1">
      <alignment horizontal="center" vertical="top"/>
    </xf>
    <xf numFmtId="1" fontId="5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left" wrapText="1"/>
    </xf>
    <xf numFmtId="164" fontId="3" fillId="0" borderId="12" xfId="0" applyNumberFormat="1" applyFont="1" applyBorder="1" applyAlignment="1">
      <alignment horizontal="center"/>
    </xf>
    <xf numFmtId="43" fontId="0" fillId="0" borderId="1" xfId="1" applyFont="1" applyFill="1" applyBorder="1" applyAlignment="1"/>
    <xf numFmtId="43" fontId="0" fillId="0" borderId="0" xfId="1" applyFont="1" applyFill="1" applyAlignment="1"/>
    <xf numFmtId="1" fontId="5" fillId="0" borderId="0" xfId="0" applyNumberFormat="1" applyFont="1" applyAlignment="1">
      <alignment horizontal="center"/>
    </xf>
    <xf numFmtId="0" fontId="3" fillId="0" borderId="0" xfId="0" applyFont="1" applyAlignment="1">
      <alignment horizontal="left" wrapText="1"/>
    </xf>
    <xf numFmtId="1" fontId="3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8"/>
  <sheetViews>
    <sheetView zoomScale="140" zoomScaleNormal="140" workbookViewId="0">
      <selection activeCell="H15" sqref="H15"/>
    </sheetView>
  </sheetViews>
  <sheetFormatPr defaultColWidth="9.109375" defaultRowHeight="10.199999999999999" x14ac:dyDescent="0.2"/>
  <cols>
    <col min="1" max="1" width="14.109375" style="2" bestFit="1" customWidth="1"/>
    <col min="2" max="2" width="7.88671875" style="2" bestFit="1" customWidth="1"/>
    <col min="3" max="3" width="8.44140625" style="82" bestFit="1" customWidth="1"/>
    <col min="4" max="4" width="17.5546875" style="2" bestFit="1" customWidth="1"/>
    <col min="5" max="5" width="10.88671875" style="2" bestFit="1" customWidth="1"/>
    <col min="6" max="6" width="7.33203125" style="2" bestFit="1" customWidth="1"/>
    <col min="7" max="7" width="9.109375" style="2"/>
    <col min="8" max="8" width="10" style="82" customWidth="1"/>
    <col min="9" max="9" width="9.5546875" style="2" bestFit="1" customWidth="1"/>
    <col min="10" max="10" width="10.44140625" style="2" bestFit="1" customWidth="1"/>
    <col min="11" max="11" width="12" style="2" customWidth="1"/>
    <col min="12" max="12" width="10.109375" style="2" bestFit="1" customWidth="1"/>
    <col min="13" max="13" width="10.5546875" style="2" bestFit="1" customWidth="1"/>
    <col min="14" max="14" width="15" style="2" customWidth="1"/>
    <col min="15" max="15" width="12.109375" style="2" customWidth="1"/>
    <col min="16" max="16" width="15.33203125" style="2" customWidth="1"/>
    <col min="17" max="17" width="7.44140625" style="2" bestFit="1" customWidth="1"/>
    <col min="18" max="18" width="7.6640625" style="2" customWidth="1"/>
    <col min="19" max="19" width="5.33203125" style="2" bestFit="1" customWidth="1"/>
    <col min="20" max="20" width="27.5546875" style="82" customWidth="1"/>
    <col min="21" max="21" width="11.44140625" style="2" bestFit="1" customWidth="1"/>
    <col min="22" max="22" width="30.88671875" style="2" customWidth="1"/>
    <col min="23" max="23" width="11.44140625" style="2" bestFit="1" customWidth="1"/>
    <col min="24" max="24" width="6.109375" style="2" bestFit="1" customWidth="1"/>
    <col min="25" max="25" width="11.44140625" style="2" bestFit="1" customWidth="1"/>
    <col min="26" max="26" width="5.44140625" style="2" bestFit="1" customWidth="1"/>
    <col min="27" max="27" width="11.44140625" style="2" bestFit="1" customWidth="1"/>
    <col min="28" max="28" width="6.6640625" style="2" bestFit="1" customWidth="1"/>
    <col min="29" max="29" width="5.5546875" style="2" bestFit="1" customWidth="1"/>
    <col min="30" max="30" width="7" style="2" bestFit="1" customWidth="1"/>
    <col min="31" max="31" width="4.44140625" style="2" bestFit="1" customWidth="1"/>
    <col min="32" max="16384" width="9.109375" style="2"/>
  </cols>
  <sheetData>
    <row r="1" spans="1:33" ht="15" thickBot="1" x14ac:dyDescent="0.35">
      <c r="A1" s="96" t="s">
        <v>83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1" t="s">
        <v>0</v>
      </c>
      <c r="P1" s="1" t="s">
        <v>1</v>
      </c>
      <c r="Q1" s="1"/>
      <c r="R1" s="1"/>
      <c r="T1" s="97" t="s">
        <v>2</v>
      </c>
      <c r="U1" s="98"/>
      <c r="V1" s="3" t="s">
        <v>3</v>
      </c>
      <c r="W1" s="4">
        <v>0.5</v>
      </c>
      <c r="X1"/>
      <c r="Y1" s="5">
        <v>0.4</v>
      </c>
      <c r="Z1"/>
      <c r="AA1" s="5">
        <v>0.3</v>
      </c>
    </row>
    <row r="2" spans="1:33" ht="14.4" x14ac:dyDescent="0.3">
      <c r="A2" s="6" t="s">
        <v>4</v>
      </c>
      <c r="B2" s="7" t="s">
        <v>5</v>
      </c>
      <c r="C2" s="8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8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9" t="s">
        <v>17</v>
      </c>
      <c r="O2" s="10">
        <v>403.62200000000001</v>
      </c>
      <c r="P2" s="11">
        <v>5.37</v>
      </c>
      <c r="Q2" s="6" t="s">
        <v>18</v>
      </c>
      <c r="R2" s="6" t="s">
        <v>19</v>
      </c>
      <c r="S2" s="12" t="s">
        <v>20</v>
      </c>
      <c r="T2" s="13" t="s">
        <v>21</v>
      </c>
      <c r="U2" s="14" t="s">
        <v>22</v>
      </c>
      <c r="V2" s="15" t="s">
        <v>21</v>
      </c>
      <c r="W2" s="16" t="s">
        <v>22</v>
      </c>
      <c r="X2"/>
      <c r="Y2" s="17" t="s">
        <v>22</v>
      </c>
      <c r="Z2"/>
      <c r="AA2" s="17" t="s">
        <v>22</v>
      </c>
      <c r="AB2" s="18"/>
      <c r="AC2" s="18"/>
      <c r="AD2" s="19"/>
      <c r="AE2" s="20"/>
      <c r="AF2" s="21"/>
      <c r="AG2" s="22"/>
    </row>
    <row r="3" spans="1:33" ht="14.4" x14ac:dyDescent="0.3">
      <c r="A3" s="23">
        <f>+B3-H3</f>
        <v>7.0499999999999545</v>
      </c>
      <c r="B3" s="24">
        <v>623</v>
      </c>
      <c r="C3" s="25">
        <v>1</v>
      </c>
      <c r="D3" s="6" t="s">
        <v>23</v>
      </c>
      <c r="E3" s="26">
        <v>690.95</v>
      </c>
      <c r="F3" s="26">
        <v>0</v>
      </c>
      <c r="G3" s="27">
        <f>E3+F3</f>
        <v>690.95</v>
      </c>
      <c r="H3" s="26">
        <f>G3-I3</f>
        <v>615.95000000000005</v>
      </c>
      <c r="I3" s="27">
        <v>75</v>
      </c>
      <c r="J3" s="28">
        <f>I3/I17*100</f>
        <v>15.946928621547491</v>
      </c>
      <c r="K3" s="29">
        <f>+J3*L3%</f>
        <v>12.806978375964791</v>
      </c>
      <c r="L3" s="30">
        <v>80.31</v>
      </c>
      <c r="M3" s="27">
        <v>400.56400000000002</v>
      </c>
      <c r="N3" s="28">
        <f>U24</f>
        <v>392.06287305931164</v>
      </c>
      <c r="O3" s="30" t="s">
        <v>24</v>
      </c>
      <c r="P3" s="27" t="s">
        <v>25</v>
      </c>
      <c r="Q3" s="6">
        <v>16</v>
      </c>
      <c r="R3" s="29">
        <f>Q3-J3</f>
        <v>5.3071378452509421E-2</v>
      </c>
      <c r="S3" s="31"/>
      <c r="T3" s="32" t="s">
        <v>26</v>
      </c>
      <c r="U3" s="24">
        <v>30</v>
      </c>
      <c r="V3" s="33" t="s">
        <v>26</v>
      </c>
      <c r="W3" s="34">
        <v>30</v>
      </c>
      <c r="X3"/>
      <c r="Y3" s="34">
        <v>30</v>
      </c>
      <c r="Z3"/>
      <c r="AA3" s="34">
        <v>30</v>
      </c>
      <c r="AB3" s="18"/>
      <c r="AC3" s="18"/>
      <c r="AD3" s="18"/>
      <c r="AE3" s="35"/>
      <c r="AF3" s="18"/>
      <c r="AG3" s="18"/>
    </row>
    <row r="4" spans="1:33" ht="14.4" x14ac:dyDescent="0.3">
      <c r="A4" s="23">
        <f t="shared" ref="A4:A15" si="0">+B4-H4</f>
        <v>-4.8600000000000136</v>
      </c>
      <c r="B4" s="24">
        <v>228</v>
      </c>
      <c r="C4" s="25">
        <v>2</v>
      </c>
      <c r="D4" s="6" t="s">
        <v>27</v>
      </c>
      <c r="E4" s="26">
        <v>272.86</v>
      </c>
      <c r="F4" s="26">
        <v>0</v>
      </c>
      <c r="G4" s="27">
        <f>E4+F4</f>
        <v>272.86</v>
      </c>
      <c r="H4" s="26">
        <f t="shared" ref="H4:H16" si="1">G4-I4</f>
        <v>232.86</v>
      </c>
      <c r="I4" s="27">
        <v>40</v>
      </c>
      <c r="J4" s="28">
        <f>I4/I17*100</f>
        <v>8.5050285981586615</v>
      </c>
      <c r="K4" s="29">
        <f t="shared" ref="K4:K13" si="2">+J4*L4%</f>
        <v>6.2146243966745329</v>
      </c>
      <c r="L4" s="30">
        <v>73.069999999999993</v>
      </c>
      <c r="M4" s="6" t="s">
        <v>28</v>
      </c>
      <c r="N4" s="6" t="s">
        <v>29</v>
      </c>
      <c r="O4" s="36">
        <v>264272</v>
      </c>
      <c r="P4" s="36">
        <v>25182</v>
      </c>
      <c r="Q4" s="6">
        <v>13</v>
      </c>
      <c r="R4" s="29">
        <f t="shared" ref="R4:R17" si="3">Q4-J4</f>
        <v>4.4949714018413385</v>
      </c>
      <c r="S4" s="31">
        <v>1</v>
      </c>
      <c r="T4" s="32" t="s">
        <v>30</v>
      </c>
      <c r="U4" s="37">
        <f>M17</f>
        <v>85.820416321149878</v>
      </c>
      <c r="V4" s="38" t="s">
        <v>30</v>
      </c>
      <c r="W4" s="39">
        <v>86.44</v>
      </c>
      <c r="X4"/>
      <c r="Y4" s="39">
        <f>U4</f>
        <v>85.820416321149878</v>
      </c>
      <c r="Z4"/>
      <c r="AA4" s="39">
        <v>84.28</v>
      </c>
      <c r="AB4" s="18"/>
      <c r="AC4" s="18"/>
      <c r="AD4" s="18"/>
      <c r="AE4" s="18"/>
      <c r="AF4" s="18"/>
      <c r="AG4" s="18"/>
    </row>
    <row r="5" spans="1:33" ht="14.4" x14ac:dyDescent="0.3">
      <c r="A5" s="23">
        <f t="shared" si="0"/>
        <v>22.590000000000032</v>
      </c>
      <c r="B5" s="24">
        <v>181</v>
      </c>
      <c r="C5" s="25">
        <v>3</v>
      </c>
      <c r="D5" s="6" t="s">
        <v>31</v>
      </c>
      <c r="E5" s="26">
        <v>131.63</v>
      </c>
      <c r="F5" s="26">
        <v>140.78</v>
      </c>
      <c r="G5" s="27">
        <f>E5+F5</f>
        <v>272.40999999999997</v>
      </c>
      <c r="H5" s="26">
        <f t="shared" si="1"/>
        <v>158.40999999999997</v>
      </c>
      <c r="I5" s="27">
        <v>114</v>
      </c>
      <c r="J5" s="28">
        <f>I5/I17*100</f>
        <v>24.239331504752183</v>
      </c>
      <c r="K5" s="29">
        <f t="shared" si="2"/>
        <v>19.069082094788545</v>
      </c>
      <c r="L5" s="30">
        <v>78.67</v>
      </c>
      <c r="M5" s="36">
        <f>O4/O2</f>
        <v>654.75122763377613</v>
      </c>
      <c r="N5" s="36">
        <f>+U12</f>
        <v>662.09810692543306</v>
      </c>
      <c r="O5" s="36">
        <f>+N5-M5</f>
        <v>7.3468792916569328</v>
      </c>
      <c r="P5" s="36">
        <f>+P4/O2</f>
        <v>62.390058024587361</v>
      </c>
      <c r="Q5" s="6">
        <v>18</v>
      </c>
      <c r="R5" s="29">
        <f t="shared" si="3"/>
        <v>-6.2393315047521831</v>
      </c>
      <c r="S5" s="31"/>
      <c r="T5" s="32" t="s">
        <v>32</v>
      </c>
      <c r="U5" s="40" t="s">
        <v>33</v>
      </c>
      <c r="V5" s="38" t="s">
        <v>32</v>
      </c>
      <c r="W5" s="41" t="s">
        <v>33</v>
      </c>
      <c r="X5"/>
      <c r="Y5" s="41" t="s">
        <v>33</v>
      </c>
      <c r="Z5"/>
      <c r="AA5" s="41" t="s">
        <v>33</v>
      </c>
      <c r="AB5" s="18"/>
      <c r="AC5" s="18"/>
      <c r="AD5" s="42"/>
      <c r="AE5" s="18"/>
      <c r="AF5" s="18"/>
      <c r="AG5" s="18"/>
    </row>
    <row r="6" spans="1:33" ht="14.4" x14ac:dyDescent="0.3">
      <c r="A6" s="23">
        <f t="shared" si="0"/>
        <v>34.449999999999989</v>
      </c>
      <c r="B6" s="24">
        <v>351</v>
      </c>
      <c r="C6" s="25">
        <v>4</v>
      </c>
      <c r="D6" s="6" t="s">
        <v>34</v>
      </c>
      <c r="E6" s="26">
        <v>316.55</v>
      </c>
      <c r="F6" s="26">
        <v>0</v>
      </c>
      <c r="G6" s="27">
        <f t="shared" ref="G6:G16" si="4">E6+F6</f>
        <v>316.55</v>
      </c>
      <c r="H6" s="26">
        <f>G6-I6</f>
        <v>316.55</v>
      </c>
      <c r="I6" s="27">
        <v>0</v>
      </c>
      <c r="J6" s="28">
        <f>I6/I17*100</f>
        <v>0</v>
      </c>
      <c r="K6" s="29">
        <f t="shared" si="2"/>
        <v>0</v>
      </c>
      <c r="L6" s="6">
        <v>94</v>
      </c>
      <c r="M6" s="6" t="s">
        <v>35</v>
      </c>
      <c r="N6" s="6"/>
      <c r="O6" s="6" t="s">
        <v>36</v>
      </c>
      <c r="P6" s="6">
        <v>3676</v>
      </c>
      <c r="Q6" s="6">
        <v>0</v>
      </c>
      <c r="R6" s="29">
        <f t="shared" si="3"/>
        <v>0</v>
      </c>
      <c r="S6" s="31"/>
      <c r="T6" s="32" t="s">
        <v>37</v>
      </c>
      <c r="U6" s="40" t="s">
        <v>38</v>
      </c>
      <c r="V6" s="38" t="s">
        <v>37</v>
      </c>
      <c r="W6" s="41" t="s">
        <v>39</v>
      </c>
      <c r="X6"/>
      <c r="Y6" s="41" t="s">
        <v>39</v>
      </c>
      <c r="Z6"/>
      <c r="AA6" s="41" t="s">
        <v>39</v>
      </c>
      <c r="AB6" s="43"/>
      <c r="AC6" s="44"/>
      <c r="AD6" s="44"/>
      <c r="AE6" s="44"/>
      <c r="AF6" s="18"/>
      <c r="AG6" s="18"/>
    </row>
    <row r="7" spans="1:33" ht="14.4" x14ac:dyDescent="0.3">
      <c r="A7" s="23">
        <v>0</v>
      </c>
      <c r="B7" s="24">
        <v>0</v>
      </c>
      <c r="C7" s="25">
        <v>5</v>
      </c>
      <c r="D7" s="6" t="s">
        <v>40</v>
      </c>
      <c r="E7" s="26">
        <v>0</v>
      </c>
      <c r="F7" s="26">
        <v>0</v>
      </c>
      <c r="G7" s="27">
        <f t="shared" si="4"/>
        <v>0</v>
      </c>
      <c r="H7" s="26">
        <f t="shared" si="1"/>
        <v>0</v>
      </c>
      <c r="I7" s="27">
        <v>0</v>
      </c>
      <c r="J7" s="28">
        <f>I7/I17*100</f>
        <v>0</v>
      </c>
      <c r="K7" s="29">
        <f t="shared" si="2"/>
        <v>0</v>
      </c>
      <c r="L7" s="6">
        <v>88</v>
      </c>
      <c r="M7" s="36">
        <f>+P5+P8</f>
        <v>71.49758932862926</v>
      </c>
      <c r="N7" s="36">
        <v>67</v>
      </c>
      <c r="O7" s="36">
        <f>+N7-M7</f>
        <v>-4.4975893286292603</v>
      </c>
      <c r="P7" s="36"/>
      <c r="Q7" s="6">
        <v>0</v>
      </c>
      <c r="R7" s="29">
        <f t="shared" si="3"/>
        <v>0</v>
      </c>
      <c r="S7" s="31">
        <v>2</v>
      </c>
      <c r="T7" s="32" t="s">
        <v>41</v>
      </c>
      <c r="U7" s="40">
        <v>455</v>
      </c>
      <c r="V7" s="38" t="s">
        <v>41</v>
      </c>
      <c r="W7" s="41">
        <v>465</v>
      </c>
      <c r="X7"/>
      <c r="Y7" s="41">
        <v>455</v>
      </c>
      <c r="Z7"/>
      <c r="AA7" s="41">
        <v>455</v>
      </c>
      <c r="AB7" s="18"/>
      <c r="AC7" s="18"/>
      <c r="AD7" s="42"/>
      <c r="AE7" s="18"/>
      <c r="AF7" s="18"/>
      <c r="AG7" s="18"/>
    </row>
    <row r="8" spans="1:33" ht="14.4" x14ac:dyDescent="0.3">
      <c r="A8" s="23">
        <f t="shared" si="0"/>
        <v>11.274999999999999</v>
      </c>
      <c r="B8" s="24">
        <v>37</v>
      </c>
      <c r="C8" s="25">
        <v>6</v>
      </c>
      <c r="D8" s="6" t="s">
        <v>42</v>
      </c>
      <c r="E8" s="26">
        <v>33.024999999999999</v>
      </c>
      <c r="F8" s="26">
        <v>0.7</v>
      </c>
      <c r="G8" s="27">
        <f t="shared" si="4"/>
        <v>33.725000000000001</v>
      </c>
      <c r="H8" s="26">
        <f t="shared" si="1"/>
        <v>25.725000000000001</v>
      </c>
      <c r="I8" s="27">
        <v>8</v>
      </c>
      <c r="J8" s="28">
        <f>I8/I17*100</f>
        <v>1.7010057196317323</v>
      </c>
      <c r="K8" s="29">
        <f t="shared" si="2"/>
        <v>1.5309051476685591</v>
      </c>
      <c r="L8" s="6">
        <v>90</v>
      </c>
      <c r="M8" s="30" t="s">
        <v>43</v>
      </c>
      <c r="N8" s="30" t="s">
        <v>44</v>
      </c>
      <c r="O8" s="6" t="s">
        <v>45</v>
      </c>
      <c r="P8" s="36">
        <f>+P6/O2</f>
        <v>9.1075313040419008</v>
      </c>
      <c r="Q8" s="6">
        <v>0</v>
      </c>
      <c r="R8" s="29">
        <f t="shared" si="3"/>
        <v>-1.7010057196317323</v>
      </c>
      <c r="S8" s="31"/>
      <c r="T8" s="32"/>
      <c r="U8" s="40"/>
      <c r="V8" s="38" t="s">
        <v>46</v>
      </c>
      <c r="W8" s="45">
        <f>((W7*(2-W4/100))/(W4/100))</f>
        <v>610.89079130032405</v>
      </c>
      <c r="X8"/>
      <c r="Y8" s="45">
        <f>((Y7*(2-Y4/100))/(Y4/100))</f>
        <v>605.35374682252223</v>
      </c>
      <c r="Z8"/>
      <c r="AA8" s="45">
        <f>((AA7*(2-AA4/100))/(AA4/100))</f>
        <v>624.73421926910294</v>
      </c>
      <c r="AB8" s="18"/>
      <c r="AC8" s="18"/>
      <c r="AD8" s="42"/>
      <c r="AE8" s="18"/>
      <c r="AF8" s="18"/>
      <c r="AG8" s="18"/>
    </row>
    <row r="9" spans="1:33" ht="14.4" x14ac:dyDescent="0.3">
      <c r="A9" s="23">
        <f t="shared" si="0"/>
        <v>0</v>
      </c>
      <c r="B9" s="24">
        <v>0</v>
      </c>
      <c r="C9" s="25">
        <v>7</v>
      </c>
      <c r="D9" s="6" t="s">
        <v>47</v>
      </c>
      <c r="E9" s="26">
        <v>0</v>
      </c>
      <c r="F9" s="26">
        <v>0</v>
      </c>
      <c r="G9" s="46">
        <f t="shared" si="4"/>
        <v>0</v>
      </c>
      <c r="H9" s="26">
        <f t="shared" si="1"/>
        <v>0</v>
      </c>
      <c r="I9" s="27">
        <v>0</v>
      </c>
      <c r="J9" s="28">
        <f>I9/I17*100</f>
        <v>0</v>
      </c>
      <c r="K9" s="29">
        <f t="shared" si="2"/>
        <v>0</v>
      </c>
      <c r="L9" s="6">
        <v>93</v>
      </c>
      <c r="M9" s="36">
        <f>+M5+M7</f>
        <v>726.24881696240539</v>
      </c>
      <c r="N9" s="36">
        <f>+N5+N7</f>
        <v>729.09810692543306</v>
      </c>
      <c r="O9" s="36">
        <f>+N9-M9</f>
        <v>2.8492899630276725</v>
      </c>
      <c r="P9" s="36"/>
      <c r="Q9" s="6">
        <v>0</v>
      </c>
      <c r="R9" s="29">
        <f t="shared" si="3"/>
        <v>0</v>
      </c>
      <c r="S9" s="31" t="s">
        <v>48</v>
      </c>
      <c r="T9" s="32" t="s">
        <v>46</v>
      </c>
      <c r="U9" s="47">
        <f>((U7*(2-U4/100))/(U4/100))</f>
        <v>605.35374682252223</v>
      </c>
      <c r="V9" s="38" t="s">
        <v>49</v>
      </c>
      <c r="W9" s="45">
        <v>24</v>
      </c>
      <c r="X9"/>
      <c r="Y9" s="45">
        <v>24</v>
      </c>
      <c r="Z9"/>
      <c r="AA9" s="45">
        <v>24</v>
      </c>
      <c r="AB9" s="18"/>
      <c r="AC9" s="18"/>
      <c r="AD9" s="42"/>
      <c r="AE9" s="18"/>
      <c r="AF9" s="18"/>
      <c r="AG9" s="18"/>
    </row>
    <row r="10" spans="1:33" ht="14.4" x14ac:dyDescent="0.3">
      <c r="A10" s="23">
        <f t="shared" si="0"/>
        <v>0</v>
      </c>
      <c r="B10" s="24">
        <v>0</v>
      </c>
      <c r="C10" s="25">
        <v>8</v>
      </c>
      <c r="D10" s="6" t="s">
        <v>50</v>
      </c>
      <c r="E10" s="26">
        <v>0</v>
      </c>
      <c r="F10" s="26">
        <v>0</v>
      </c>
      <c r="G10" s="27">
        <f t="shared" si="4"/>
        <v>0</v>
      </c>
      <c r="H10" s="26">
        <f t="shared" si="1"/>
        <v>0</v>
      </c>
      <c r="I10" s="27">
        <v>0</v>
      </c>
      <c r="J10" s="28">
        <f>I10/I17*100</f>
        <v>0</v>
      </c>
      <c r="K10" s="29">
        <f t="shared" si="2"/>
        <v>0</v>
      </c>
      <c r="L10" s="6">
        <v>70</v>
      </c>
      <c r="M10" s="6"/>
      <c r="N10" s="6"/>
      <c r="O10" s="6"/>
      <c r="P10" s="6"/>
      <c r="Q10" s="6">
        <v>0</v>
      </c>
      <c r="R10" s="29">
        <f t="shared" si="3"/>
        <v>0</v>
      </c>
      <c r="S10" s="31" t="s">
        <v>51</v>
      </c>
      <c r="T10" s="32" t="s">
        <v>49</v>
      </c>
      <c r="U10" s="47">
        <v>24</v>
      </c>
      <c r="V10" s="38" t="s">
        <v>52</v>
      </c>
      <c r="W10" s="45">
        <v>20</v>
      </c>
      <c r="X10"/>
      <c r="Y10" s="45">
        <f>U11</f>
        <v>32.744360102910846</v>
      </c>
      <c r="Z10"/>
      <c r="AA10" s="45">
        <v>25</v>
      </c>
      <c r="AB10" s="18"/>
      <c r="AC10" s="18"/>
      <c r="AD10" s="42"/>
      <c r="AE10" s="18"/>
      <c r="AF10" s="18"/>
      <c r="AG10" s="18"/>
    </row>
    <row r="11" spans="1:33" ht="14.4" x14ac:dyDescent="0.3">
      <c r="A11" s="23">
        <f t="shared" si="0"/>
        <v>5</v>
      </c>
      <c r="B11" s="24">
        <v>5</v>
      </c>
      <c r="C11" s="25">
        <v>9</v>
      </c>
      <c r="D11" s="6" t="s">
        <v>53</v>
      </c>
      <c r="E11" s="26">
        <v>0</v>
      </c>
      <c r="F11" s="26">
        <v>0</v>
      </c>
      <c r="G11" s="27">
        <f>E11+F11</f>
        <v>0</v>
      </c>
      <c r="H11" s="26">
        <f t="shared" si="1"/>
        <v>0</v>
      </c>
      <c r="I11" s="27">
        <v>0</v>
      </c>
      <c r="J11" s="28">
        <f>I11/I17*100</f>
        <v>0</v>
      </c>
      <c r="K11" s="29">
        <f t="shared" si="2"/>
        <v>0</v>
      </c>
      <c r="L11" s="6">
        <v>98</v>
      </c>
      <c r="M11" s="6"/>
      <c r="N11" s="6"/>
      <c r="O11" s="6"/>
      <c r="P11" s="6"/>
      <c r="Q11" s="6">
        <v>0</v>
      </c>
      <c r="R11" s="29">
        <f t="shared" si="3"/>
        <v>0</v>
      </c>
      <c r="S11" s="31"/>
      <c r="T11" s="32" t="s">
        <v>54</v>
      </c>
      <c r="U11" s="47">
        <f>J5+J4</f>
        <v>32.744360102910846</v>
      </c>
      <c r="V11" s="38" t="s">
        <v>55</v>
      </c>
      <c r="W11" s="45">
        <f>SUM(W8:W10)</f>
        <v>654.89079130032405</v>
      </c>
      <c r="X11"/>
      <c r="Y11" s="45">
        <f>SUM(Y8:Y10)</f>
        <v>662.09810692543306</v>
      </c>
      <c r="Z11"/>
      <c r="AA11" s="45">
        <f>SUM(AA8:AA10)</f>
        <v>673.73421926910294</v>
      </c>
      <c r="AB11" s="18"/>
      <c r="AC11" s="18"/>
      <c r="AD11" s="42"/>
      <c r="AE11" s="18"/>
      <c r="AF11" s="18"/>
      <c r="AG11" s="18"/>
    </row>
    <row r="12" spans="1:33" ht="14.4" x14ac:dyDescent="0.3">
      <c r="A12" s="48">
        <f>+B12-H12</f>
        <v>-3.1189999999999145</v>
      </c>
      <c r="B12" s="24">
        <v>599</v>
      </c>
      <c r="C12" s="25">
        <v>10</v>
      </c>
      <c r="D12" s="6" t="s">
        <v>56</v>
      </c>
      <c r="E12" s="49">
        <v>549.66899999999998</v>
      </c>
      <c r="F12" s="26">
        <v>246.45</v>
      </c>
      <c r="G12" s="27">
        <f>E12+F12</f>
        <v>796.11899999999991</v>
      </c>
      <c r="H12" s="49">
        <f>G12-I12</f>
        <v>602.11899999999991</v>
      </c>
      <c r="I12" s="46">
        <v>194</v>
      </c>
      <c r="J12" s="28">
        <f>I12/I17*100</f>
        <v>41.249388701069506</v>
      </c>
      <c r="K12" s="29">
        <f t="shared" si="2"/>
        <v>38.361931491994646</v>
      </c>
      <c r="L12" s="6">
        <v>93</v>
      </c>
      <c r="M12" s="36"/>
      <c r="N12" s="6"/>
      <c r="O12" s="6"/>
      <c r="P12" s="6"/>
      <c r="Q12" s="6">
        <v>48</v>
      </c>
      <c r="R12" s="29">
        <f t="shared" si="3"/>
        <v>6.7506112989304938</v>
      </c>
      <c r="S12" s="31" t="s">
        <v>57</v>
      </c>
      <c r="T12" s="32" t="s">
        <v>55</v>
      </c>
      <c r="U12" s="47">
        <f>U9+U10+U11</f>
        <v>662.09810692543306</v>
      </c>
      <c r="V12" s="38" t="s">
        <v>58</v>
      </c>
      <c r="W12" s="50">
        <v>16</v>
      </c>
      <c r="X12"/>
      <c r="Y12" s="50">
        <v>16</v>
      </c>
      <c r="Z12"/>
      <c r="AA12" s="50">
        <v>16</v>
      </c>
      <c r="AB12" s="51" t="s">
        <v>59</v>
      </c>
      <c r="AC12" s="51"/>
      <c r="AD12" s="52"/>
      <c r="AE12" s="18"/>
      <c r="AF12" s="18"/>
      <c r="AG12" s="18"/>
    </row>
    <row r="13" spans="1:33" ht="14.4" x14ac:dyDescent="0.3">
      <c r="A13" s="23">
        <f t="shared" si="0"/>
        <v>4.240000000000002</v>
      </c>
      <c r="B13" s="24">
        <v>40</v>
      </c>
      <c r="C13" s="25">
        <v>11</v>
      </c>
      <c r="D13" s="6" t="s">
        <v>60</v>
      </c>
      <c r="E13" s="26">
        <v>12.35</v>
      </c>
      <c r="F13" s="26">
        <v>33.409999999999997</v>
      </c>
      <c r="G13" s="27">
        <f>E13+F13</f>
        <v>45.76</v>
      </c>
      <c r="H13" s="26">
        <f>G13-I13</f>
        <v>35.76</v>
      </c>
      <c r="I13" s="27">
        <v>10</v>
      </c>
      <c r="J13" s="28">
        <f>I13/I17*100</f>
        <v>2.1262571495396654</v>
      </c>
      <c r="K13" s="29">
        <f t="shared" si="2"/>
        <v>1.4594629074440264</v>
      </c>
      <c r="L13" s="6">
        <v>68.64</v>
      </c>
      <c r="M13" s="24" t="s">
        <v>61</v>
      </c>
      <c r="N13" s="6">
        <v>12</v>
      </c>
      <c r="O13" s="6" t="s">
        <v>62</v>
      </c>
      <c r="P13" s="53"/>
      <c r="Q13" s="6">
        <v>2</v>
      </c>
      <c r="R13" s="29">
        <f t="shared" si="3"/>
        <v>-0.12625714953966538</v>
      </c>
      <c r="S13" s="31">
        <v>5</v>
      </c>
      <c r="T13" s="32" t="s">
        <v>58</v>
      </c>
      <c r="U13" s="24">
        <v>20</v>
      </c>
      <c r="V13" s="38" t="s">
        <v>63</v>
      </c>
      <c r="W13" s="34">
        <v>10060</v>
      </c>
      <c r="X13"/>
      <c r="Y13" s="34">
        <v>10670</v>
      </c>
      <c r="Z13"/>
      <c r="AA13" s="34">
        <v>12000</v>
      </c>
      <c r="AB13" s="18"/>
      <c r="AC13" s="18"/>
      <c r="AD13" s="42"/>
      <c r="AE13" s="18"/>
      <c r="AF13" s="18"/>
      <c r="AG13" s="18"/>
    </row>
    <row r="14" spans="1:33" ht="14.4" x14ac:dyDescent="0.3">
      <c r="A14" s="23">
        <f t="shared" si="0"/>
        <v>22.120000000000005</v>
      </c>
      <c r="B14" s="24">
        <v>58</v>
      </c>
      <c r="C14" s="25">
        <v>12</v>
      </c>
      <c r="D14" s="6" t="s">
        <v>64</v>
      </c>
      <c r="E14" s="26">
        <v>33.61</v>
      </c>
      <c r="F14" s="26">
        <v>12.27</v>
      </c>
      <c r="G14" s="27">
        <f>E14+F14</f>
        <v>45.879999999999995</v>
      </c>
      <c r="H14" s="26">
        <f t="shared" si="1"/>
        <v>35.879999999999995</v>
      </c>
      <c r="I14" s="27">
        <v>10</v>
      </c>
      <c r="J14" s="28">
        <f>I14/I17*100</f>
        <v>2.1262571495396654</v>
      </c>
      <c r="K14" s="29">
        <f>+J14*L14%</f>
        <v>2.083732006548872</v>
      </c>
      <c r="L14" s="6">
        <v>98</v>
      </c>
      <c r="M14" s="6"/>
      <c r="N14" s="6"/>
      <c r="O14" s="6"/>
      <c r="P14" s="30"/>
      <c r="Q14" s="6">
        <v>3</v>
      </c>
      <c r="R14" s="29">
        <f t="shared" si="3"/>
        <v>0.87374285046033462</v>
      </c>
      <c r="S14" s="31">
        <v>6</v>
      </c>
      <c r="T14" s="32" t="s">
        <v>63</v>
      </c>
      <c r="U14" s="24">
        <v>12000</v>
      </c>
      <c r="V14" s="38" t="s">
        <v>65</v>
      </c>
      <c r="W14" s="54">
        <v>0.92</v>
      </c>
      <c r="X14"/>
      <c r="Y14" s="54">
        <v>0.92</v>
      </c>
      <c r="Z14"/>
      <c r="AA14" s="54">
        <v>0.92</v>
      </c>
      <c r="AB14" s="18"/>
      <c r="AC14" s="18"/>
      <c r="AD14" s="42"/>
      <c r="AE14" s="18"/>
      <c r="AF14" s="18"/>
      <c r="AG14" s="18"/>
    </row>
    <row r="15" spans="1:33" ht="14.4" x14ac:dyDescent="0.3">
      <c r="A15" s="23">
        <f t="shared" si="0"/>
        <v>0</v>
      </c>
      <c r="B15" s="24">
        <v>0</v>
      </c>
      <c r="C15" s="25">
        <v>13</v>
      </c>
      <c r="D15" s="6" t="s">
        <v>1</v>
      </c>
      <c r="E15" s="26">
        <v>0</v>
      </c>
      <c r="F15" s="26">
        <v>0</v>
      </c>
      <c r="G15" s="27">
        <f>E15+F15</f>
        <v>0</v>
      </c>
      <c r="H15" s="26">
        <f>G15-I15</f>
        <v>0</v>
      </c>
      <c r="I15" s="27">
        <v>0</v>
      </c>
      <c r="J15" s="28">
        <f>I15/I17*100</f>
        <v>0</v>
      </c>
      <c r="K15" s="29">
        <f>J15*L15</f>
        <v>0</v>
      </c>
      <c r="L15" s="55">
        <v>0.98</v>
      </c>
      <c r="M15" s="6"/>
      <c r="N15" s="6"/>
      <c r="O15" s="6"/>
      <c r="P15" s="30"/>
      <c r="Q15" s="6"/>
      <c r="R15" s="29"/>
      <c r="S15" s="31"/>
      <c r="T15" s="32"/>
      <c r="U15" s="24"/>
      <c r="V15" s="38"/>
      <c r="W15" s="54"/>
      <c r="X15"/>
      <c r="Y15" s="54"/>
      <c r="Z15"/>
      <c r="AA15" s="54"/>
      <c r="AB15" s="18"/>
      <c r="AC15" s="18"/>
      <c r="AD15" s="42"/>
      <c r="AE15" s="18"/>
      <c r="AF15" s="18"/>
      <c r="AG15" s="18"/>
    </row>
    <row r="16" spans="1:33" ht="14.4" x14ac:dyDescent="0.3">
      <c r="A16" s="23">
        <f>+B16-H16</f>
        <v>0</v>
      </c>
      <c r="B16" s="24">
        <v>0</v>
      </c>
      <c r="C16" s="25">
        <v>14</v>
      </c>
      <c r="D16" s="6" t="s">
        <v>66</v>
      </c>
      <c r="E16" s="26">
        <v>19.309999999999999</v>
      </c>
      <c r="F16" s="26">
        <v>0</v>
      </c>
      <c r="G16" s="27">
        <f t="shared" si="4"/>
        <v>19.309999999999999</v>
      </c>
      <c r="H16" s="26">
        <f t="shared" si="1"/>
        <v>0</v>
      </c>
      <c r="I16" s="27">
        <v>19.309999999999999</v>
      </c>
      <c r="J16" s="28">
        <f>I16/I17*100</f>
        <v>4.1058025557610938</v>
      </c>
      <c r="K16" s="29">
        <f>+J16*L16%</f>
        <v>3.859454402415428</v>
      </c>
      <c r="L16" s="6">
        <v>94</v>
      </c>
      <c r="M16" s="8" t="s">
        <v>67</v>
      </c>
      <c r="N16" s="6" t="s">
        <v>68</v>
      </c>
      <c r="O16" s="36" t="s">
        <v>69</v>
      </c>
      <c r="P16" s="6"/>
      <c r="Q16" s="6"/>
      <c r="R16" s="29"/>
      <c r="S16" s="31">
        <v>7</v>
      </c>
      <c r="T16" s="32" t="s">
        <v>65</v>
      </c>
      <c r="U16" s="56">
        <v>0.9</v>
      </c>
      <c r="V16" s="57" t="s">
        <v>70</v>
      </c>
      <c r="W16" s="58">
        <f>(W13*W14)/(W11-W10)</f>
        <v>14.577625202350729</v>
      </c>
      <c r="X16"/>
      <c r="Y16" s="58">
        <f>(Y13*Y14)/(Y11-Y10)</f>
        <v>15.597587286261481</v>
      </c>
      <c r="Z16"/>
      <c r="AA16" s="58">
        <f>(AA13*AA14)/(AA11-AA10)</f>
        <v>17.017754994392352</v>
      </c>
      <c r="AB16" s="18"/>
      <c r="AC16" s="18"/>
      <c r="AD16" s="42"/>
      <c r="AE16" s="18"/>
      <c r="AF16" s="18"/>
      <c r="AG16" s="18"/>
    </row>
    <row r="17" spans="1:33" ht="14.4" x14ac:dyDescent="0.3">
      <c r="A17" s="59">
        <f>+B17-H17</f>
        <v>98.746000000000095</v>
      </c>
      <c r="B17" s="6">
        <f>SUM(B3:B14)+B16</f>
        <v>2122</v>
      </c>
      <c r="C17" s="8"/>
      <c r="D17" s="6" t="s">
        <v>10</v>
      </c>
      <c r="E17" s="26">
        <f>SUM(E3:E16)</f>
        <v>2059.9540000000002</v>
      </c>
      <c r="F17" s="27">
        <f>SUM(F3:F16)</f>
        <v>433.6099999999999</v>
      </c>
      <c r="G17" s="27">
        <f>E17+F17</f>
        <v>2493.5640000000003</v>
      </c>
      <c r="H17" s="26">
        <f>SUM(H3:H16)</f>
        <v>2023.2539999999999</v>
      </c>
      <c r="I17" s="27">
        <f>SUM(I3:I16)</f>
        <v>470.31</v>
      </c>
      <c r="J17" s="28">
        <f>SUM(J3:J16)</f>
        <v>99.999999999999986</v>
      </c>
      <c r="K17" s="29">
        <f>SUM(K3:K16)</f>
        <v>85.386170823499384</v>
      </c>
      <c r="L17" s="6"/>
      <c r="M17" s="30">
        <f>+O2/I17*100</f>
        <v>85.820416321149878</v>
      </c>
      <c r="N17" s="60">
        <f>+K17</f>
        <v>85.386170823499384</v>
      </c>
      <c r="O17" s="27">
        <f>+M17-N17</f>
        <v>0.43424549765049392</v>
      </c>
      <c r="P17" s="36">
        <f>1036+27</f>
        <v>1063</v>
      </c>
      <c r="Q17" s="6">
        <f>SUM(Q3:Q16)</f>
        <v>100</v>
      </c>
      <c r="R17" s="29">
        <f t="shared" si="3"/>
        <v>0</v>
      </c>
      <c r="S17" s="31">
        <v>8</v>
      </c>
      <c r="T17" s="32" t="s">
        <v>70</v>
      </c>
      <c r="U17" s="61">
        <f>(U14*U16)/(U12-U11)</f>
        <v>17.160460320649527</v>
      </c>
      <c r="V17" s="38" t="s">
        <v>71</v>
      </c>
      <c r="W17" s="50">
        <v>34</v>
      </c>
      <c r="X17"/>
      <c r="Y17" s="50">
        <v>34</v>
      </c>
      <c r="Z17"/>
      <c r="AA17" s="50">
        <v>34</v>
      </c>
      <c r="AB17" s="18"/>
      <c r="AC17" s="18"/>
      <c r="AD17" s="18"/>
      <c r="AE17" s="18"/>
      <c r="AF17" s="18"/>
      <c r="AG17" s="18"/>
    </row>
    <row r="18" spans="1:33" ht="14.4" x14ac:dyDescent="0.3">
      <c r="A18" s="62"/>
      <c r="B18" s="63">
        <f>+H17-B17</f>
        <v>-98.746000000000095</v>
      </c>
      <c r="C18" s="8"/>
      <c r="D18" s="6"/>
      <c r="E18" s="26"/>
      <c r="F18" s="27"/>
      <c r="G18" s="27"/>
      <c r="H18" s="26"/>
      <c r="I18" s="27"/>
      <c r="J18" s="28" t="s">
        <v>72</v>
      </c>
      <c r="K18" s="64">
        <f>P2/M3</f>
        <v>1.3406097402662246E-2</v>
      </c>
      <c r="L18" s="6"/>
      <c r="M18" s="30"/>
      <c r="N18" s="60"/>
      <c r="O18" s="27"/>
      <c r="P18" s="36">
        <f>+P17-P19</f>
        <v>425.00100000000009</v>
      </c>
      <c r="Q18" s="6"/>
      <c r="R18" s="29"/>
      <c r="S18" s="31"/>
      <c r="T18" s="32"/>
      <c r="U18" s="61"/>
      <c r="V18" s="38"/>
      <c r="W18" s="50"/>
      <c r="X18"/>
      <c r="Y18" s="50"/>
      <c r="Z18"/>
      <c r="AA18" s="50"/>
      <c r="AB18" s="18"/>
      <c r="AC18" s="18"/>
      <c r="AD18" s="18"/>
      <c r="AE18" s="18"/>
      <c r="AF18" s="18"/>
      <c r="AG18" s="18"/>
    </row>
    <row r="19" spans="1:33" ht="23.4" x14ac:dyDescent="0.45">
      <c r="A19" s="6">
        <f>B3+B4+B5+B13</f>
        <v>1072</v>
      </c>
      <c r="B19" s="6">
        <f>B12+B14+B16</f>
        <v>657</v>
      </c>
      <c r="C19" s="8"/>
      <c r="D19" s="6" t="s">
        <v>73</v>
      </c>
      <c r="E19" s="27">
        <v>0</v>
      </c>
      <c r="F19" s="27">
        <v>0</v>
      </c>
      <c r="G19" s="27">
        <f>+E19+F19</f>
        <v>0</v>
      </c>
      <c r="H19" s="27">
        <f>G19-I19</f>
        <v>0</v>
      </c>
      <c r="I19" s="27">
        <f>F19</f>
        <v>0</v>
      </c>
      <c r="J19" s="65"/>
      <c r="K19" s="29"/>
      <c r="L19" s="6" t="s">
        <v>74</v>
      </c>
      <c r="M19" s="25" t="s">
        <v>75</v>
      </c>
      <c r="N19" s="66">
        <f>H3+H4+H5+H13+H10</f>
        <v>1042.98</v>
      </c>
      <c r="O19" s="65" t="s">
        <v>76</v>
      </c>
      <c r="P19" s="67">
        <f>H12+H14+H16</f>
        <v>637.99899999999991</v>
      </c>
      <c r="Q19" s="27">
        <f>+P19+N19</f>
        <v>1680.9789999999998</v>
      </c>
      <c r="R19" s="68"/>
      <c r="S19" s="31">
        <v>9</v>
      </c>
      <c r="T19" s="32" t="s">
        <v>71</v>
      </c>
      <c r="U19" s="24">
        <v>34</v>
      </c>
      <c r="V19" s="38" t="s">
        <v>77</v>
      </c>
      <c r="W19" s="69">
        <f>W17*60/W16</f>
        <v>139.94048904968676</v>
      </c>
      <c r="X19"/>
      <c r="Y19" s="69">
        <f>Y17*60/Y16</f>
        <v>130.78945881564988</v>
      </c>
      <c r="Z19"/>
      <c r="AA19" s="69">
        <f>AA17*60/AA16</f>
        <v>119.87480138668207</v>
      </c>
      <c r="AB19" s="18"/>
      <c r="AC19" s="18"/>
      <c r="AD19" s="18"/>
      <c r="AE19" s="18"/>
      <c r="AF19" s="18"/>
      <c r="AG19" s="18"/>
    </row>
    <row r="20" spans="1:33" ht="14.4" x14ac:dyDescent="0.3">
      <c r="A20" s="63">
        <f>A19-N19</f>
        <v>29.019999999999982</v>
      </c>
      <c r="B20" s="70">
        <f>B19-P19</f>
        <v>19.00100000000009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31">
        <v>10</v>
      </c>
      <c r="T20" s="32" t="s">
        <v>77</v>
      </c>
      <c r="U20" s="71">
        <f>U19*60/U17</f>
        <v>118.8779299553653</v>
      </c>
      <c r="V20" s="57" t="s">
        <v>78</v>
      </c>
      <c r="W20" s="72">
        <v>5</v>
      </c>
      <c r="X20"/>
      <c r="Y20" s="72">
        <v>12</v>
      </c>
      <c r="Z20"/>
      <c r="AA20" s="72">
        <v>15</v>
      </c>
      <c r="AB20" s="18"/>
      <c r="AC20" s="18"/>
      <c r="AD20" s="18"/>
      <c r="AE20" s="18"/>
      <c r="AF20" s="18"/>
      <c r="AG20" s="18"/>
    </row>
    <row r="21" spans="1:33" ht="42" x14ac:dyDescent="0.3">
      <c r="A21" s="73"/>
      <c r="B21" s="74"/>
      <c r="C21" s="74"/>
      <c r="H21" s="2"/>
      <c r="S21" s="8">
        <v>11</v>
      </c>
      <c r="T21" s="32" t="s">
        <v>78</v>
      </c>
      <c r="U21" s="75">
        <v>6</v>
      </c>
      <c r="V21" s="57" t="s">
        <v>79</v>
      </c>
      <c r="W21" s="72">
        <f>W20+W19</f>
        <v>144.94048904968676</v>
      </c>
      <c r="X21"/>
      <c r="Y21" s="72">
        <f>Y20+Y19</f>
        <v>142.78945881564988</v>
      </c>
      <c r="Z21"/>
      <c r="AA21" s="72">
        <f>AA20+AA19</f>
        <v>134.87480138668207</v>
      </c>
      <c r="AB21" s="18"/>
      <c r="AC21" s="18"/>
      <c r="AD21" s="18"/>
      <c r="AE21" s="18"/>
      <c r="AF21" s="18"/>
      <c r="AG21" s="18"/>
    </row>
    <row r="22" spans="1:33" s="82" customFormat="1" ht="14.4" x14ac:dyDescent="0.3">
      <c r="A22" s="76"/>
      <c r="B22" s="77">
        <f>A12+A16</f>
        <v>-3.1189999999999145</v>
      </c>
      <c r="C22" s="78"/>
      <c r="D22" s="2"/>
      <c r="E22" s="79">
        <f>H12+H14+H16</f>
        <v>637.99899999999991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6">
        <v>12</v>
      </c>
      <c r="T22" s="32" t="s">
        <v>79</v>
      </c>
      <c r="U22" s="71">
        <f>U21+U20</f>
        <v>124.8779299553653</v>
      </c>
      <c r="V22" s="38" t="s">
        <v>80</v>
      </c>
      <c r="W22" s="80">
        <f>24*60/W21</f>
        <v>9.9351120548955549</v>
      </c>
      <c r="X22"/>
      <c r="Y22" s="80">
        <f>24*60/Y21</f>
        <v>10.084778049751767</v>
      </c>
      <c r="Z22"/>
      <c r="AA22" s="80">
        <f>24*60/AA21</f>
        <v>10.676568085327983</v>
      </c>
      <c r="AB22" s="81"/>
      <c r="AC22" s="81"/>
      <c r="AD22" s="81"/>
      <c r="AE22" s="81"/>
      <c r="AF22" s="81"/>
      <c r="AG22" s="81"/>
    </row>
    <row r="23" spans="1:33" ht="14.4" x14ac:dyDescent="0.3">
      <c r="A23" s="83"/>
      <c r="B23" s="84"/>
      <c r="C23" s="84"/>
      <c r="E23" s="2">
        <f>B12+B14+B16</f>
        <v>657</v>
      </c>
      <c r="H23" s="2"/>
      <c r="S23" s="6">
        <v>13</v>
      </c>
      <c r="T23" s="32" t="s">
        <v>80</v>
      </c>
      <c r="U23" s="85">
        <f>24*60/U22</f>
        <v>11.531260972332696</v>
      </c>
      <c r="V23" s="57" t="s">
        <v>81</v>
      </c>
      <c r="W23" s="86">
        <f>W22*W17</f>
        <v>337.7938098664489</v>
      </c>
      <c r="X23"/>
      <c r="Y23" s="86">
        <f>Y22*Y17</f>
        <v>342.8824536915601</v>
      </c>
      <c r="Z23"/>
      <c r="AA23" s="86">
        <f>AA22*AA17</f>
        <v>363.00331490115138</v>
      </c>
      <c r="AB23" s="18"/>
      <c r="AC23" s="18"/>
      <c r="AD23" s="18"/>
      <c r="AE23" s="18"/>
      <c r="AF23" s="18"/>
      <c r="AG23" s="18"/>
    </row>
    <row r="24" spans="1:33" ht="15" thickBot="1" x14ac:dyDescent="0.35">
      <c r="A24" s="73"/>
      <c r="B24" s="74"/>
      <c r="C24" s="87"/>
      <c r="E24" s="79">
        <f>E23-E22</f>
        <v>19.00100000000009</v>
      </c>
      <c r="H24" s="2"/>
      <c r="S24" s="6">
        <v>14</v>
      </c>
      <c r="T24" s="88" t="s">
        <v>81</v>
      </c>
      <c r="U24" s="89">
        <f>U23*U19</f>
        <v>392.06287305931164</v>
      </c>
      <c r="V24" s="57" t="s">
        <v>82</v>
      </c>
      <c r="W24" s="3">
        <v>65</v>
      </c>
      <c r="X24"/>
      <c r="Y24" s="90">
        <f>+W23*W24/Y23</f>
        <v>64.035349155166259</v>
      </c>
      <c r="Z24" s="91"/>
      <c r="AA24" s="90">
        <f>+Y23*Y24/AA23</f>
        <v>60.485942524514222</v>
      </c>
      <c r="AB24" s="18"/>
      <c r="AC24" s="18"/>
      <c r="AD24" s="18"/>
      <c r="AE24" s="18"/>
      <c r="AF24" s="18"/>
      <c r="AG24" s="18"/>
    </row>
    <row r="25" spans="1:33" ht="13.8" x14ac:dyDescent="0.3">
      <c r="A25" s="83"/>
      <c r="B25" s="92"/>
      <c r="C25" s="87"/>
      <c r="H25" s="2"/>
      <c r="S25" s="18"/>
      <c r="T25" s="93"/>
      <c r="U25" s="94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1:33" ht="13.8" x14ac:dyDescent="0.3">
      <c r="A26" s="83"/>
      <c r="B26" s="95"/>
      <c r="C26" s="87"/>
      <c r="H26" s="2"/>
      <c r="S26" s="18"/>
      <c r="T26" s="81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 x14ac:dyDescent="0.2">
      <c r="C27" s="81"/>
      <c r="S27" s="18"/>
      <c r="T27" s="81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 x14ac:dyDescent="0.2">
      <c r="C28" s="81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</sheetData>
  <mergeCells count="3">
    <mergeCell ref="A1:N1"/>
    <mergeCell ref="T1:U1"/>
    <mergeCell ref="C20:R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0DD0-844F-474F-95BD-A1F88A32B9B6}">
  <dimension ref="A1:AG28"/>
  <sheetViews>
    <sheetView zoomScale="150" zoomScaleNormal="150" workbookViewId="0">
      <selection activeCell="H17" sqref="H17"/>
    </sheetView>
  </sheetViews>
  <sheetFormatPr defaultColWidth="9.109375" defaultRowHeight="10.199999999999999" x14ac:dyDescent="0.2"/>
  <cols>
    <col min="1" max="1" width="14.109375" style="2" bestFit="1" customWidth="1"/>
    <col min="2" max="2" width="7.88671875" style="2" bestFit="1" customWidth="1"/>
    <col min="3" max="3" width="8.44140625" style="82" bestFit="1" customWidth="1"/>
    <col min="4" max="4" width="17.5546875" style="2" bestFit="1" customWidth="1"/>
    <col min="5" max="5" width="10.88671875" style="2" bestFit="1" customWidth="1"/>
    <col min="6" max="6" width="7.33203125" style="2" bestFit="1" customWidth="1"/>
    <col min="7" max="7" width="9.109375" style="2"/>
    <col min="8" max="8" width="10" style="82" customWidth="1"/>
    <col min="9" max="9" width="9.5546875" style="2" bestFit="1" customWidth="1"/>
    <col min="10" max="10" width="10.44140625" style="2" bestFit="1" customWidth="1"/>
    <col min="11" max="11" width="12" style="2" customWidth="1"/>
    <col min="12" max="12" width="10.109375" style="2" bestFit="1" customWidth="1"/>
    <col min="13" max="13" width="10.5546875" style="2" bestFit="1" customWidth="1"/>
    <col min="14" max="14" width="15" style="2" customWidth="1"/>
    <col min="15" max="15" width="12.109375" style="2" customWidth="1"/>
    <col min="16" max="16" width="15.33203125" style="2" customWidth="1"/>
    <col min="17" max="17" width="7.44140625" style="2" bestFit="1" customWidth="1"/>
    <col min="18" max="18" width="7.6640625" style="2" customWidth="1"/>
    <col min="19" max="19" width="5.33203125" style="2" bestFit="1" customWidth="1"/>
    <col min="20" max="20" width="27.5546875" style="82" customWidth="1"/>
    <col min="21" max="21" width="11.44140625" style="2" bestFit="1" customWidth="1"/>
    <col min="22" max="22" width="30.88671875" style="2" customWidth="1"/>
    <col min="23" max="23" width="11.44140625" style="2" bestFit="1" customWidth="1"/>
    <col min="24" max="24" width="6.109375" style="2" bestFit="1" customWidth="1"/>
    <col min="25" max="25" width="11.44140625" style="2" bestFit="1" customWidth="1"/>
    <col min="26" max="26" width="5.44140625" style="2" bestFit="1" customWidth="1"/>
    <col min="27" max="27" width="11.44140625" style="2" bestFit="1" customWidth="1"/>
    <col min="28" max="28" width="6.6640625" style="2" bestFit="1" customWidth="1"/>
    <col min="29" max="29" width="5.5546875" style="2" bestFit="1" customWidth="1"/>
    <col min="30" max="30" width="7" style="2" bestFit="1" customWidth="1"/>
    <col min="31" max="31" width="4.44140625" style="2" bestFit="1" customWidth="1"/>
    <col min="32" max="16384" width="9.109375" style="2"/>
  </cols>
  <sheetData>
    <row r="1" spans="1:33" ht="15" thickBot="1" x14ac:dyDescent="0.35">
      <c r="A1" s="96" t="s">
        <v>84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1" t="s">
        <v>0</v>
      </c>
      <c r="P1" s="1" t="s">
        <v>1</v>
      </c>
      <c r="Q1" s="1"/>
      <c r="R1" s="1"/>
      <c r="T1" s="97" t="s">
        <v>2</v>
      </c>
      <c r="U1" s="98"/>
      <c r="V1" s="3" t="s">
        <v>3</v>
      </c>
      <c r="W1" s="4">
        <v>0.5</v>
      </c>
      <c r="X1"/>
      <c r="Y1" s="5">
        <v>0.4</v>
      </c>
      <c r="Z1"/>
      <c r="AA1" s="5">
        <v>0.3</v>
      </c>
    </row>
    <row r="2" spans="1:33" ht="14.4" x14ac:dyDescent="0.3">
      <c r="A2" s="6" t="s">
        <v>4</v>
      </c>
      <c r="B2" s="7" t="s">
        <v>5</v>
      </c>
      <c r="C2" s="8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8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9" t="s">
        <v>17</v>
      </c>
      <c r="O2" s="10">
        <v>407.327</v>
      </c>
      <c r="P2" s="11">
        <v>5.37</v>
      </c>
      <c r="Q2" s="6" t="s">
        <v>18</v>
      </c>
      <c r="R2" s="6" t="s">
        <v>19</v>
      </c>
      <c r="S2" s="12" t="s">
        <v>20</v>
      </c>
      <c r="T2" s="13" t="s">
        <v>21</v>
      </c>
      <c r="U2" s="14" t="s">
        <v>22</v>
      </c>
      <c r="V2" s="15" t="s">
        <v>21</v>
      </c>
      <c r="W2" s="16" t="s">
        <v>22</v>
      </c>
      <c r="X2"/>
      <c r="Y2" s="17" t="s">
        <v>22</v>
      </c>
      <c r="Z2"/>
      <c r="AA2" s="17" t="s">
        <v>22</v>
      </c>
      <c r="AB2" s="18"/>
      <c r="AC2" s="18"/>
      <c r="AD2" s="19"/>
      <c r="AE2" s="20"/>
      <c r="AF2" s="21"/>
      <c r="AG2" s="22"/>
    </row>
    <row r="3" spans="1:33" ht="14.4" x14ac:dyDescent="0.3">
      <c r="A3" s="23">
        <f>+B3-H3</f>
        <v>15.049999999999955</v>
      </c>
      <c r="B3" s="24">
        <v>563</v>
      </c>
      <c r="C3" s="25">
        <v>1</v>
      </c>
      <c r="D3" s="6" t="s">
        <v>23</v>
      </c>
      <c r="E3" s="26">
        <v>615.95000000000005</v>
      </c>
      <c r="F3" s="26">
        <v>0</v>
      </c>
      <c r="G3" s="27">
        <f>E3+F3</f>
        <v>615.95000000000005</v>
      </c>
      <c r="H3" s="26">
        <f>G3-I3</f>
        <v>547.95000000000005</v>
      </c>
      <c r="I3" s="27">
        <v>68</v>
      </c>
      <c r="J3" s="28">
        <f>I3/I17*100</f>
        <v>14.315789473684209</v>
      </c>
      <c r="K3" s="29">
        <f>+J3*L3%</f>
        <v>11.497010526315789</v>
      </c>
      <c r="L3" s="30">
        <v>80.31</v>
      </c>
      <c r="M3" s="27">
        <v>407.327</v>
      </c>
      <c r="N3" s="28">
        <f>U24</f>
        <v>391.5695213317394</v>
      </c>
      <c r="O3" s="30" t="s">
        <v>24</v>
      </c>
      <c r="P3" s="27" t="s">
        <v>25</v>
      </c>
      <c r="Q3" s="6">
        <v>16</v>
      </c>
      <c r="R3" s="29">
        <f>Q3-J3</f>
        <v>1.6842105263157912</v>
      </c>
      <c r="S3" s="31"/>
      <c r="T3" s="32" t="s">
        <v>26</v>
      </c>
      <c r="U3" s="24">
        <v>30</v>
      </c>
      <c r="V3" s="33" t="s">
        <v>26</v>
      </c>
      <c r="W3" s="34">
        <v>30</v>
      </c>
      <c r="X3"/>
      <c r="Y3" s="34">
        <v>30</v>
      </c>
      <c r="Z3"/>
      <c r="AA3" s="34">
        <v>30</v>
      </c>
      <c r="AB3" s="18"/>
      <c r="AC3" s="18"/>
      <c r="AD3" s="18"/>
      <c r="AE3" s="35"/>
      <c r="AF3" s="18"/>
      <c r="AG3" s="18"/>
    </row>
    <row r="4" spans="1:33" ht="14.4" x14ac:dyDescent="0.3">
      <c r="A4" s="23">
        <f t="shared" ref="A4:A15" si="0">+B4-H4</f>
        <v>-9.7200000000000273</v>
      </c>
      <c r="B4" s="24">
        <v>223</v>
      </c>
      <c r="C4" s="25">
        <v>2</v>
      </c>
      <c r="D4" s="6" t="s">
        <v>27</v>
      </c>
      <c r="E4" s="26">
        <v>232.86</v>
      </c>
      <c r="F4" s="26">
        <v>44.86</v>
      </c>
      <c r="G4" s="27">
        <f>E4+F4</f>
        <v>277.72000000000003</v>
      </c>
      <c r="H4" s="26">
        <f t="shared" ref="H4:H16" si="1">G4-I4</f>
        <v>232.72000000000003</v>
      </c>
      <c r="I4" s="27">
        <v>45</v>
      </c>
      <c r="J4" s="28">
        <f>I4/I17*100</f>
        <v>9.4736842105263168</v>
      </c>
      <c r="K4" s="29">
        <f t="shared" ref="K4:K13" si="2">+J4*L4%</f>
        <v>6.922421052631579</v>
      </c>
      <c r="L4" s="30">
        <v>73.069999999999993</v>
      </c>
      <c r="M4" s="6" t="s">
        <v>28</v>
      </c>
      <c r="N4" s="6" t="s">
        <v>29</v>
      </c>
      <c r="O4" s="36">
        <v>268056</v>
      </c>
      <c r="P4" s="36">
        <v>23124</v>
      </c>
      <c r="Q4" s="6">
        <v>13</v>
      </c>
      <c r="R4" s="29">
        <f t="shared" ref="R4:R17" si="3">Q4-J4</f>
        <v>3.5263157894736832</v>
      </c>
      <c r="S4" s="31">
        <v>1</v>
      </c>
      <c r="T4" s="32" t="s">
        <v>30</v>
      </c>
      <c r="U4" s="37">
        <f>M17</f>
        <v>85.753052631578953</v>
      </c>
      <c r="V4" s="38" t="s">
        <v>30</v>
      </c>
      <c r="W4" s="39">
        <v>86.44</v>
      </c>
      <c r="X4"/>
      <c r="Y4" s="39">
        <f>U4</f>
        <v>85.753052631578953</v>
      </c>
      <c r="Z4"/>
      <c r="AA4" s="39">
        <v>84.28</v>
      </c>
      <c r="AB4" s="18"/>
      <c r="AC4" s="18"/>
      <c r="AD4" s="18"/>
      <c r="AE4" s="18"/>
      <c r="AF4" s="18"/>
      <c r="AG4" s="18"/>
    </row>
    <row r="5" spans="1:33" ht="14.4" x14ac:dyDescent="0.3">
      <c r="A5" s="23">
        <f t="shared" si="0"/>
        <v>24.160000000000025</v>
      </c>
      <c r="B5" s="24">
        <v>171</v>
      </c>
      <c r="C5" s="25">
        <v>3</v>
      </c>
      <c r="D5" s="6" t="s">
        <v>31</v>
      </c>
      <c r="E5" s="26">
        <v>158.40999999999997</v>
      </c>
      <c r="F5" s="26">
        <v>115.43</v>
      </c>
      <c r="G5" s="27">
        <f>E5+F5</f>
        <v>273.83999999999997</v>
      </c>
      <c r="H5" s="26">
        <f t="shared" si="1"/>
        <v>146.83999999999997</v>
      </c>
      <c r="I5" s="27">
        <v>127</v>
      </c>
      <c r="J5" s="28">
        <f>I5/I17*100</f>
        <v>26.736842105263158</v>
      </c>
      <c r="K5" s="29">
        <f t="shared" si="2"/>
        <v>21.033873684210526</v>
      </c>
      <c r="L5" s="30">
        <v>78.67</v>
      </c>
      <c r="M5" s="36">
        <f>O4/O2</f>
        <v>658.08551851460868</v>
      </c>
      <c r="N5" s="36">
        <f>+U12</f>
        <v>666.39723871148135</v>
      </c>
      <c r="O5" s="36">
        <f>+N5-M5</f>
        <v>8.3117201968726704</v>
      </c>
      <c r="P5" s="36">
        <f>+P4/O2</f>
        <v>56.770113446935753</v>
      </c>
      <c r="Q5" s="6">
        <v>18</v>
      </c>
      <c r="R5" s="29">
        <f t="shared" si="3"/>
        <v>-8.7368421052631575</v>
      </c>
      <c r="S5" s="31"/>
      <c r="T5" s="32" t="s">
        <v>32</v>
      </c>
      <c r="U5" s="40" t="s">
        <v>33</v>
      </c>
      <c r="V5" s="38" t="s">
        <v>32</v>
      </c>
      <c r="W5" s="41" t="s">
        <v>33</v>
      </c>
      <c r="X5"/>
      <c r="Y5" s="41" t="s">
        <v>33</v>
      </c>
      <c r="Z5"/>
      <c r="AA5" s="41" t="s">
        <v>33</v>
      </c>
      <c r="AB5" s="18"/>
      <c r="AC5" s="18"/>
      <c r="AD5" s="42"/>
      <c r="AE5" s="18"/>
      <c r="AF5" s="18"/>
      <c r="AG5" s="18"/>
    </row>
    <row r="6" spans="1:33" ht="14.4" x14ac:dyDescent="0.3">
      <c r="A6" s="23">
        <f t="shared" si="0"/>
        <v>36.449999999999989</v>
      </c>
      <c r="B6" s="24">
        <v>351</v>
      </c>
      <c r="C6" s="25">
        <v>4</v>
      </c>
      <c r="D6" s="6" t="s">
        <v>34</v>
      </c>
      <c r="E6" s="26">
        <v>316.55</v>
      </c>
      <c r="F6" s="26">
        <v>0</v>
      </c>
      <c r="G6" s="27">
        <f t="shared" ref="G6:G16" si="4">E6+F6</f>
        <v>316.55</v>
      </c>
      <c r="H6" s="26">
        <f>G6-I6</f>
        <v>314.55</v>
      </c>
      <c r="I6" s="27">
        <v>2</v>
      </c>
      <c r="J6" s="28">
        <f>I6/I17*100</f>
        <v>0.42105263157894735</v>
      </c>
      <c r="K6" s="29">
        <f t="shared" si="2"/>
        <v>0.39578947368421047</v>
      </c>
      <c r="L6" s="6">
        <v>94</v>
      </c>
      <c r="M6" s="6" t="s">
        <v>35</v>
      </c>
      <c r="N6" s="6"/>
      <c r="O6" s="6" t="s">
        <v>36</v>
      </c>
      <c r="P6" s="6">
        <v>2730</v>
      </c>
      <c r="Q6" s="6">
        <v>0</v>
      </c>
      <c r="R6" s="29">
        <f t="shared" si="3"/>
        <v>-0.42105263157894735</v>
      </c>
      <c r="S6" s="31"/>
      <c r="T6" s="32" t="s">
        <v>37</v>
      </c>
      <c r="U6" s="40" t="s">
        <v>38</v>
      </c>
      <c r="V6" s="38" t="s">
        <v>37</v>
      </c>
      <c r="W6" s="41" t="s">
        <v>39</v>
      </c>
      <c r="X6"/>
      <c r="Y6" s="41" t="s">
        <v>39</v>
      </c>
      <c r="Z6"/>
      <c r="AA6" s="41" t="s">
        <v>39</v>
      </c>
      <c r="AB6" s="43"/>
      <c r="AC6" s="44"/>
      <c r="AD6" s="44"/>
      <c r="AE6" s="44"/>
      <c r="AF6" s="18"/>
      <c r="AG6" s="18"/>
    </row>
    <row r="7" spans="1:33" ht="14.4" x14ac:dyDescent="0.3">
      <c r="A7" s="23">
        <v>0</v>
      </c>
      <c r="B7" s="24">
        <v>0</v>
      </c>
      <c r="C7" s="25">
        <v>5</v>
      </c>
      <c r="D7" s="6" t="s">
        <v>40</v>
      </c>
      <c r="E7" s="26">
        <v>0</v>
      </c>
      <c r="F7" s="26">
        <v>0</v>
      </c>
      <c r="G7" s="27">
        <f t="shared" si="4"/>
        <v>0</v>
      </c>
      <c r="H7" s="26">
        <f t="shared" si="1"/>
        <v>0</v>
      </c>
      <c r="I7" s="27">
        <v>0</v>
      </c>
      <c r="J7" s="28">
        <f>I7/I17*100</f>
        <v>0</v>
      </c>
      <c r="K7" s="29">
        <f t="shared" si="2"/>
        <v>0</v>
      </c>
      <c r="L7" s="6">
        <v>88</v>
      </c>
      <c r="M7" s="36">
        <f>+P5+P8</f>
        <v>63.472345314698018</v>
      </c>
      <c r="N7" s="36">
        <v>67</v>
      </c>
      <c r="O7" s="36">
        <f>+N7-M7</f>
        <v>3.5276546853019823</v>
      </c>
      <c r="P7" s="36"/>
      <c r="Q7" s="6">
        <v>0</v>
      </c>
      <c r="R7" s="29">
        <f t="shared" si="3"/>
        <v>0</v>
      </c>
      <c r="S7" s="31">
        <v>2</v>
      </c>
      <c r="T7" s="32" t="s">
        <v>41</v>
      </c>
      <c r="U7" s="40">
        <v>455</v>
      </c>
      <c r="V7" s="38" t="s">
        <v>41</v>
      </c>
      <c r="W7" s="41">
        <v>465</v>
      </c>
      <c r="X7"/>
      <c r="Y7" s="41">
        <v>455</v>
      </c>
      <c r="Z7"/>
      <c r="AA7" s="41">
        <v>455</v>
      </c>
      <c r="AB7" s="18"/>
      <c r="AC7" s="18"/>
      <c r="AD7" s="42"/>
      <c r="AE7" s="18"/>
      <c r="AF7" s="18"/>
      <c r="AG7" s="18"/>
    </row>
    <row r="8" spans="1:33" ht="14.4" x14ac:dyDescent="0.3">
      <c r="A8" s="23">
        <f t="shared" si="0"/>
        <v>19.375</v>
      </c>
      <c r="B8" s="24">
        <v>46</v>
      </c>
      <c r="C8" s="25">
        <v>6</v>
      </c>
      <c r="D8" s="6" t="s">
        <v>42</v>
      </c>
      <c r="E8" s="26">
        <v>25.725000000000001</v>
      </c>
      <c r="F8" s="26">
        <v>3.9</v>
      </c>
      <c r="G8" s="27">
        <f t="shared" si="4"/>
        <v>29.625</v>
      </c>
      <c r="H8" s="26">
        <f t="shared" si="1"/>
        <v>26.625</v>
      </c>
      <c r="I8" s="27">
        <v>3</v>
      </c>
      <c r="J8" s="28">
        <f>I8/I17*100</f>
        <v>0.63157894736842102</v>
      </c>
      <c r="K8" s="29">
        <f t="shared" si="2"/>
        <v>0.56842105263157894</v>
      </c>
      <c r="L8" s="6">
        <v>90</v>
      </c>
      <c r="M8" s="30" t="s">
        <v>43</v>
      </c>
      <c r="N8" s="30" t="s">
        <v>44</v>
      </c>
      <c r="O8" s="6" t="s">
        <v>45</v>
      </c>
      <c r="P8" s="36">
        <f>+P6/O2</f>
        <v>6.702231867762265</v>
      </c>
      <c r="Q8" s="6">
        <v>0</v>
      </c>
      <c r="R8" s="29">
        <f t="shared" si="3"/>
        <v>-0.63157894736842102</v>
      </c>
      <c r="S8" s="31"/>
      <c r="T8" s="32"/>
      <c r="U8" s="40"/>
      <c r="V8" s="38" t="s">
        <v>46</v>
      </c>
      <c r="W8" s="45">
        <f>((W7*(2-W4/100))/(W4/100))</f>
        <v>610.89079130032405</v>
      </c>
      <c r="X8"/>
      <c r="Y8" s="45">
        <f>((Y7*(2-Y4/100))/(Y4/100))</f>
        <v>606.18671239569187</v>
      </c>
      <c r="Z8"/>
      <c r="AA8" s="45">
        <f>((AA7*(2-AA4/100))/(AA4/100))</f>
        <v>624.73421926910294</v>
      </c>
      <c r="AB8" s="18"/>
      <c r="AC8" s="18"/>
      <c r="AD8" s="42"/>
      <c r="AE8" s="18"/>
      <c r="AF8" s="18"/>
      <c r="AG8" s="18"/>
    </row>
    <row r="9" spans="1:33" ht="14.4" x14ac:dyDescent="0.3">
      <c r="A9" s="23">
        <f t="shared" si="0"/>
        <v>0</v>
      </c>
      <c r="B9" s="24">
        <v>0</v>
      </c>
      <c r="C9" s="25">
        <v>7</v>
      </c>
      <c r="D9" s="6" t="s">
        <v>47</v>
      </c>
      <c r="E9" s="26">
        <v>0</v>
      </c>
      <c r="F9" s="26">
        <v>0</v>
      </c>
      <c r="G9" s="46">
        <f t="shared" si="4"/>
        <v>0</v>
      </c>
      <c r="H9" s="26">
        <f t="shared" si="1"/>
        <v>0</v>
      </c>
      <c r="I9" s="27">
        <v>0</v>
      </c>
      <c r="J9" s="28">
        <f>I9/I17*100</f>
        <v>0</v>
      </c>
      <c r="K9" s="29">
        <f t="shared" si="2"/>
        <v>0</v>
      </c>
      <c r="L9" s="6">
        <v>93</v>
      </c>
      <c r="M9" s="36">
        <f>+M5+M7</f>
        <v>721.55786382930671</v>
      </c>
      <c r="N9" s="36">
        <f>+N5+N7</f>
        <v>733.39723871148135</v>
      </c>
      <c r="O9" s="36">
        <f>+N9-M9</f>
        <v>11.839374882174639</v>
      </c>
      <c r="P9" s="36"/>
      <c r="Q9" s="6">
        <v>0</v>
      </c>
      <c r="R9" s="29">
        <f t="shared" si="3"/>
        <v>0</v>
      </c>
      <c r="S9" s="31" t="s">
        <v>48</v>
      </c>
      <c r="T9" s="32" t="s">
        <v>46</v>
      </c>
      <c r="U9" s="47">
        <f>((U7*(2-U4/100))/(U4/100))</f>
        <v>606.18671239569187</v>
      </c>
      <c r="V9" s="38" t="s">
        <v>49</v>
      </c>
      <c r="W9" s="45">
        <v>24</v>
      </c>
      <c r="X9"/>
      <c r="Y9" s="45">
        <v>24</v>
      </c>
      <c r="Z9"/>
      <c r="AA9" s="45">
        <v>24</v>
      </c>
      <c r="AB9" s="18"/>
      <c r="AC9" s="18"/>
      <c r="AD9" s="42"/>
      <c r="AE9" s="18"/>
      <c r="AF9" s="18"/>
      <c r="AG9" s="18"/>
    </row>
    <row r="10" spans="1:33" ht="14.4" x14ac:dyDescent="0.3">
      <c r="A10" s="23">
        <f t="shared" si="0"/>
        <v>0</v>
      </c>
      <c r="B10" s="24">
        <v>0</v>
      </c>
      <c r="C10" s="25">
        <v>8</v>
      </c>
      <c r="D10" s="6" t="s">
        <v>50</v>
      </c>
      <c r="E10" s="26">
        <v>0</v>
      </c>
      <c r="F10" s="26">
        <v>0</v>
      </c>
      <c r="G10" s="27">
        <f t="shared" si="4"/>
        <v>0</v>
      </c>
      <c r="H10" s="26">
        <f t="shared" si="1"/>
        <v>0</v>
      </c>
      <c r="I10" s="27">
        <v>0</v>
      </c>
      <c r="J10" s="28">
        <f>I10/I17*100</f>
        <v>0</v>
      </c>
      <c r="K10" s="29">
        <f t="shared" si="2"/>
        <v>0</v>
      </c>
      <c r="L10" s="6">
        <v>70</v>
      </c>
      <c r="M10" s="6"/>
      <c r="N10" s="6"/>
      <c r="O10" s="6"/>
      <c r="P10" s="6"/>
      <c r="Q10" s="6">
        <v>0</v>
      </c>
      <c r="R10" s="29">
        <f t="shared" si="3"/>
        <v>0</v>
      </c>
      <c r="S10" s="31" t="s">
        <v>51</v>
      </c>
      <c r="T10" s="32" t="s">
        <v>49</v>
      </c>
      <c r="U10" s="47">
        <v>24</v>
      </c>
      <c r="V10" s="38" t="s">
        <v>52</v>
      </c>
      <c r="W10" s="45">
        <v>20</v>
      </c>
      <c r="X10"/>
      <c r="Y10" s="45">
        <f>U11</f>
        <v>36.210526315789473</v>
      </c>
      <c r="Z10"/>
      <c r="AA10" s="45">
        <v>25</v>
      </c>
      <c r="AB10" s="18"/>
      <c r="AC10" s="18"/>
      <c r="AD10" s="42"/>
      <c r="AE10" s="18"/>
      <c r="AF10" s="18"/>
      <c r="AG10" s="18"/>
    </row>
    <row r="11" spans="1:33" ht="14.4" x14ac:dyDescent="0.3">
      <c r="A11" s="23">
        <f t="shared" si="0"/>
        <v>5</v>
      </c>
      <c r="B11" s="24">
        <v>5</v>
      </c>
      <c r="C11" s="25">
        <v>9</v>
      </c>
      <c r="D11" s="6" t="s">
        <v>53</v>
      </c>
      <c r="E11" s="26">
        <v>0</v>
      </c>
      <c r="F11" s="26">
        <v>0</v>
      </c>
      <c r="G11" s="27">
        <f>E11+F11</f>
        <v>0</v>
      </c>
      <c r="H11" s="26">
        <f t="shared" si="1"/>
        <v>0</v>
      </c>
      <c r="I11" s="27">
        <v>0</v>
      </c>
      <c r="J11" s="28">
        <f>I11/I17*100</f>
        <v>0</v>
      </c>
      <c r="K11" s="29">
        <f t="shared" si="2"/>
        <v>0</v>
      </c>
      <c r="L11" s="6">
        <v>98</v>
      </c>
      <c r="M11" s="6"/>
      <c r="N11" s="6"/>
      <c r="O11" s="6"/>
      <c r="P11" s="6"/>
      <c r="Q11" s="6">
        <v>0</v>
      </c>
      <c r="R11" s="29">
        <f t="shared" si="3"/>
        <v>0</v>
      </c>
      <c r="S11" s="31"/>
      <c r="T11" s="32" t="s">
        <v>54</v>
      </c>
      <c r="U11" s="47">
        <f>J5+J4</f>
        <v>36.210526315789473</v>
      </c>
      <c r="V11" s="38" t="s">
        <v>55</v>
      </c>
      <c r="W11" s="45">
        <f>SUM(W8:W10)</f>
        <v>654.89079130032405</v>
      </c>
      <c r="X11"/>
      <c r="Y11" s="45">
        <f>SUM(Y8:Y10)</f>
        <v>666.39723871148135</v>
      </c>
      <c r="Z11"/>
      <c r="AA11" s="45">
        <f>SUM(AA8:AA10)</f>
        <v>673.73421926910294</v>
      </c>
      <c r="AB11" s="18"/>
      <c r="AC11" s="18"/>
      <c r="AD11" s="42"/>
      <c r="AE11" s="18"/>
      <c r="AF11" s="18"/>
      <c r="AG11" s="18"/>
    </row>
    <row r="12" spans="1:33" ht="14.4" x14ac:dyDescent="0.3">
      <c r="A12" s="48">
        <f>+B12-H12</f>
        <v>-14.42899999999986</v>
      </c>
      <c r="B12" s="24">
        <v>562</v>
      </c>
      <c r="C12" s="25">
        <v>10</v>
      </c>
      <c r="D12" s="6" t="s">
        <v>56</v>
      </c>
      <c r="E12" s="49">
        <v>602.11899999999991</v>
      </c>
      <c r="F12" s="26">
        <v>182.31</v>
      </c>
      <c r="G12" s="27">
        <f>E12+F12</f>
        <v>784.42899999999986</v>
      </c>
      <c r="H12" s="49">
        <f>G12-I12</f>
        <v>576.42899999999986</v>
      </c>
      <c r="I12" s="46">
        <v>208</v>
      </c>
      <c r="J12" s="28">
        <f>I12/I17*100</f>
        <v>43.789473684210527</v>
      </c>
      <c r="K12" s="29">
        <f t="shared" si="2"/>
        <v>40.724210526315794</v>
      </c>
      <c r="L12" s="6">
        <v>93</v>
      </c>
      <c r="M12" s="36"/>
      <c r="N12" s="6"/>
      <c r="O12" s="6"/>
      <c r="P12" s="6"/>
      <c r="Q12" s="6">
        <v>48</v>
      </c>
      <c r="R12" s="29">
        <f t="shared" si="3"/>
        <v>4.2105263157894726</v>
      </c>
      <c r="S12" s="31" t="s">
        <v>57</v>
      </c>
      <c r="T12" s="32" t="s">
        <v>55</v>
      </c>
      <c r="U12" s="47">
        <f>U9+U10+U11</f>
        <v>666.39723871148135</v>
      </c>
      <c r="V12" s="38" t="s">
        <v>58</v>
      </c>
      <c r="W12" s="50">
        <v>16</v>
      </c>
      <c r="X12"/>
      <c r="Y12" s="50">
        <v>16</v>
      </c>
      <c r="Z12"/>
      <c r="AA12" s="50">
        <v>16</v>
      </c>
      <c r="AB12" s="18"/>
      <c r="AC12" s="18"/>
      <c r="AD12" s="42"/>
      <c r="AE12" s="18"/>
      <c r="AF12" s="18"/>
      <c r="AG12" s="18"/>
    </row>
    <row r="13" spans="1:33" ht="14.4" x14ac:dyDescent="0.3">
      <c r="A13" s="23">
        <f t="shared" si="0"/>
        <v>4.240000000000002</v>
      </c>
      <c r="B13" s="24">
        <v>30</v>
      </c>
      <c r="C13" s="25">
        <v>11</v>
      </c>
      <c r="D13" s="6" t="s">
        <v>60</v>
      </c>
      <c r="E13" s="26">
        <v>35.76</v>
      </c>
      <c r="F13" s="26">
        <v>0</v>
      </c>
      <c r="G13" s="27">
        <f>E13+F13</f>
        <v>35.76</v>
      </c>
      <c r="H13" s="26">
        <f>G13-I13</f>
        <v>25.759999999999998</v>
      </c>
      <c r="I13" s="27">
        <v>10</v>
      </c>
      <c r="J13" s="28">
        <f>I13/I17*100</f>
        <v>2.1052631578947367</v>
      </c>
      <c r="K13" s="29">
        <f t="shared" si="2"/>
        <v>1.4450526315789474</v>
      </c>
      <c r="L13" s="6">
        <v>68.64</v>
      </c>
      <c r="M13" s="24" t="s">
        <v>61</v>
      </c>
      <c r="N13" s="6">
        <v>12</v>
      </c>
      <c r="O13" s="6" t="s">
        <v>62</v>
      </c>
      <c r="P13" s="53"/>
      <c r="Q13" s="6">
        <v>2</v>
      </c>
      <c r="R13" s="29">
        <f t="shared" si="3"/>
        <v>-0.10526315789473673</v>
      </c>
      <c r="S13" s="31">
        <v>5</v>
      </c>
      <c r="T13" s="32" t="s">
        <v>58</v>
      </c>
      <c r="U13" s="24">
        <v>20</v>
      </c>
      <c r="V13" s="38" t="s">
        <v>63</v>
      </c>
      <c r="W13" s="34">
        <v>10060</v>
      </c>
      <c r="X13"/>
      <c r="Y13" s="34">
        <v>10670</v>
      </c>
      <c r="Z13"/>
      <c r="AA13" s="34">
        <v>12000</v>
      </c>
      <c r="AB13" s="18"/>
      <c r="AC13" s="18"/>
      <c r="AD13" s="42"/>
      <c r="AE13" s="18"/>
      <c r="AF13" s="18"/>
      <c r="AG13" s="18"/>
    </row>
    <row r="14" spans="1:33" ht="14.4" x14ac:dyDescent="0.3">
      <c r="A14" s="23">
        <f t="shared" si="0"/>
        <v>24.520000000000003</v>
      </c>
      <c r="B14" s="24">
        <v>61</v>
      </c>
      <c r="C14" s="25">
        <v>12</v>
      </c>
      <c r="D14" s="6" t="s">
        <v>64</v>
      </c>
      <c r="E14" s="26">
        <v>35.879999999999995</v>
      </c>
      <c r="F14" s="26">
        <v>12.6</v>
      </c>
      <c r="G14" s="27">
        <f>E14+F14</f>
        <v>48.48</v>
      </c>
      <c r="H14" s="26">
        <f t="shared" si="1"/>
        <v>36.479999999999997</v>
      </c>
      <c r="I14" s="27">
        <v>12</v>
      </c>
      <c r="J14" s="28">
        <f>I14/I17*100</f>
        <v>2.5263157894736841</v>
      </c>
      <c r="K14" s="29">
        <f>+J14*L14%</f>
        <v>2.4757894736842103</v>
      </c>
      <c r="L14" s="6">
        <v>98</v>
      </c>
      <c r="M14" s="6"/>
      <c r="N14" s="6"/>
      <c r="O14" s="6"/>
      <c r="P14" s="30"/>
      <c r="Q14" s="6">
        <v>3</v>
      </c>
      <c r="R14" s="29">
        <f t="shared" si="3"/>
        <v>0.47368421052631593</v>
      </c>
      <c r="S14" s="31">
        <v>6</v>
      </c>
      <c r="T14" s="32" t="s">
        <v>63</v>
      </c>
      <c r="U14" s="24">
        <v>12000</v>
      </c>
      <c r="V14" s="38" t="s">
        <v>65</v>
      </c>
      <c r="W14" s="54">
        <v>0.92</v>
      </c>
      <c r="X14"/>
      <c r="Y14" s="54">
        <v>0.92</v>
      </c>
      <c r="Z14"/>
      <c r="AA14" s="54">
        <v>0.92</v>
      </c>
      <c r="AB14" s="18"/>
      <c r="AC14" s="18"/>
      <c r="AD14" s="42"/>
      <c r="AE14" s="18"/>
      <c r="AF14" s="18"/>
      <c r="AG14" s="18"/>
    </row>
    <row r="15" spans="1:33" ht="14.4" x14ac:dyDescent="0.3">
      <c r="A15" s="23">
        <f t="shared" si="0"/>
        <v>0</v>
      </c>
      <c r="B15" s="24">
        <v>0</v>
      </c>
      <c r="C15" s="25">
        <v>13</v>
      </c>
      <c r="D15" s="6" t="s">
        <v>1</v>
      </c>
      <c r="E15" s="26">
        <v>0</v>
      </c>
      <c r="F15" s="26">
        <v>0</v>
      </c>
      <c r="G15" s="27">
        <f>E15+F15</f>
        <v>0</v>
      </c>
      <c r="H15" s="26">
        <f>G15-I15</f>
        <v>0</v>
      </c>
      <c r="I15" s="27">
        <v>0</v>
      </c>
      <c r="J15" s="28">
        <f>I15/I17*100</f>
        <v>0</v>
      </c>
      <c r="K15" s="29">
        <f>J15*L15</f>
        <v>0</v>
      </c>
      <c r="L15" s="55">
        <v>0.98</v>
      </c>
      <c r="M15" s="6"/>
      <c r="N15" s="6"/>
      <c r="O15" s="6"/>
      <c r="P15" s="30"/>
      <c r="Q15" s="6"/>
      <c r="R15" s="29"/>
      <c r="S15" s="31"/>
      <c r="T15" s="32"/>
      <c r="U15" s="24"/>
      <c r="V15" s="38"/>
      <c r="W15" s="54"/>
      <c r="X15"/>
      <c r="Y15" s="54"/>
      <c r="Z15"/>
      <c r="AA15" s="54"/>
      <c r="AB15" s="18"/>
      <c r="AC15" s="18"/>
      <c r="AD15" s="42"/>
      <c r="AE15" s="18"/>
      <c r="AF15" s="18"/>
      <c r="AG15" s="18"/>
    </row>
    <row r="16" spans="1:33" ht="14.4" x14ac:dyDescent="0.3">
      <c r="A16" s="23">
        <f>+B16-H16</f>
        <v>-1.24</v>
      </c>
      <c r="B16" s="24">
        <v>0</v>
      </c>
      <c r="C16" s="25">
        <v>14</v>
      </c>
      <c r="D16" s="6" t="s">
        <v>66</v>
      </c>
      <c r="E16" s="26">
        <v>0</v>
      </c>
      <c r="F16" s="26">
        <v>1.24</v>
      </c>
      <c r="G16" s="27">
        <f t="shared" si="4"/>
        <v>1.24</v>
      </c>
      <c r="H16" s="26">
        <f t="shared" si="1"/>
        <v>1.24</v>
      </c>
      <c r="I16" s="27">
        <v>0</v>
      </c>
      <c r="J16" s="28">
        <f>I16/I17*100</f>
        <v>0</v>
      </c>
      <c r="K16" s="29">
        <f>+J16*L16%</f>
        <v>0</v>
      </c>
      <c r="L16" s="6">
        <v>94</v>
      </c>
      <c r="M16" s="8" t="s">
        <v>67</v>
      </c>
      <c r="N16" s="6" t="s">
        <v>68</v>
      </c>
      <c r="O16" s="36" t="s">
        <v>69</v>
      </c>
      <c r="P16" s="6"/>
      <c r="Q16" s="6"/>
      <c r="R16" s="29"/>
      <c r="S16" s="31">
        <v>7</v>
      </c>
      <c r="T16" s="32" t="s">
        <v>65</v>
      </c>
      <c r="U16" s="56">
        <v>0.9</v>
      </c>
      <c r="V16" s="57" t="s">
        <v>70</v>
      </c>
      <c r="W16" s="58">
        <f>(W13*W14)/(W11-W10)</f>
        <v>14.577625202350729</v>
      </c>
      <c r="X16"/>
      <c r="Y16" s="58">
        <f>(Y13*Y14)/(Y11-Y10)</f>
        <v>15.576970772173818</v>
      </c>
      <c r="Z16"/>
      <c r="AA16" s="58">
        <f>(AA13*AA14)/(AA11-AA10)</f>
        <v>17.017754994392352</v>
      </c>
      <c r="AB16" s="18"/>
      <c r="AC16" s="18"/>
      <c r="AD16" s="42"/>
      <c r="AE16" s="18"/>
      <c r="AF16" s="18"/>
      <c r="AG16" s="18"/>
    </row>
    <row r="17" spans="1:33" ht="14.4" x14ac:dyDescent="0.3">
      <c r="A17" s="59">
        <f>+B17-H17</f>
        <v>103.40600000000018</v>
      </c>
      <c r="B17" s="6">
        <f>SUM(B3:B14)+B16</f>
        <v>2012</v>
      </c>
      <c r="C17" s="8"/>
      <c r="D17" s="6" t="s">
        <v>10</v>
      </c>
      <c r="E17" s="26">
        <f>SUM(E3:E16)</f>
        <v>2023.2539999999999</v>
      </c>
      <c r="F17" s="27">
        <f>SUM(F3:F16)</f>
        <v>360.34000000000003</v>
      </c>
      <c r="G17" s="27">
        <f>E17+F17</f>
        <v>2383.5940000000001</v>
      </c>
      <c r="H17" s="26">
        <f>SUM(H3:H16)</f>
        <v>1908.5939999999998</v>
      </c>
      <c r="I17" s="27">
        <f>SUM(I3:I16)</f>
        <v>475</v>
      </c>
      <c r="J17" s="28">
        <f>SUM(J3:J16)</f>
        <v>100</v>
      </c>
      <c r="K17" s="29">
        <f>SUM(K3:K16)</f>
        <v>85.062568421052632</v>
      </c>
      <c r="L17" s="6"/>
      <c r="M17" s="30">
        <f>+O2/I17*100</f>
        <v>85.753052631578953</v>
      </c>
      <c r="N17" s="60">
        <f>+K17</f>
        <v>85.062568421052632</v>
      </c>
      <c r="O17" s="27">
        <f>+M17-N17</f>
        <v>0.69048421052632136</v>
      </c>
      <c r="P17" s="36">
        <f>1036+27</f>
        <v>1063</v>
      </c>
      <c r="Q17" s="6">
        <f>SUM(Q3:Q16)</f>
        <v>100</v>
      </c>
      <c r="R17" s="29">
        <f t="shared" si="3"/>
        <v>0</v>
      </c>
      <c r="S17" s="31">
        <v>8</v>
      </c>
      <c r="T17" s="32" t="s">
        <v>70</v>
      </c>
      <c r="U17" s="61">
        <f>(U14*U16)/(U12-U11)</f>
        <v>17.137778038738972</v>
      </c>
      <c r="V17" s="38" t="s">
        <v>71</v>
      </c>
      <c r="W17" s="50">
        <v>34</v>
      </c>
      <c r="X17"/>
      <c r="Y17" s="50">
        <v>34</v>
      </c>
      <c r="Z17"/>
      <c r="AA17" s="50">
        <v>34</v>
      </c>
      <c r="AB17" s="18"/>
      <c r="AC17" s="18"/>
      <c r="AD17" s="18"/>
      <c r="AE17" s="18"/>
      <c r="AF17" s="18"/>
      <c r="AG17" s="18"/>
    </row>
    <row r="18" spans="1:33" ht="14.4" x14ac:dyDescent="0.3">
      <c r="A18" s="62"/>
      <c r="B18" s="63">
        <f>+H17-B17</f>
        <v>-103.40600000000018</v>
      </c>
      <c r="C18" s="8"/>
      <c r="D18" s="6"/>
      <c r="E18" s="26"/>
      <c r="F18" s="27"/>
      <c r="G18" s="27"/>
      <c r="H18" s="26"/>
      <c r="I18" s="27"/>
      <c r="J18" s="28" t="s">
        <v>72</v>
      </c>
      <c r="K18" s="64">
        <f>P2/M3</f>
        <v>1.3183511036587311E-2</v>
      </c>
      <c r="L18" s="6"/>
      <c r="M18" s="30"/>
      <c r="N18" s="60"/>
      <c r="O18" s="27"/>
      <c r="P18" s="36">
        <f>+P17-P19</f>
        <v>448.85100000000011</v>
      </c>
      <c r="Q18" s="6"/>
      <c r="R18" s="29"/>
      <c r="S18" s="31"/>
      <c r="T18" s="32"/>
      <c r="U18" s="61"/>
      <c r="V18" s="38"/>
      <c r="W18" s="50"/>
      <c r="X18"/>
      <c r="Y18" s="50"/>
      <c r="Z18"/>
      <c r="AA18" s="50"/>
      <c r="AB18" s="18"/>
      <c r="AC18" s="18"/>
      <c r="AD18" s="18"/>
      <c r="AE18" s="18"/>
      <c r="AF18" s="18"/>
      <c r="AG18" s="18"/>
    </row>
    <row r="19" spans="1:33" ht="23.4" x14ac:dyDescent="0.45">
      <c r="A19" s="6">
        <f>B3+B4+B5+B13</f>
        <v>987</v>
      </c>
      <c r="B19" s="6">
        <f>B12+B14+B16</f>
        <v>623</v>
      </c>
      <c r="C19" s="8"/>
      <c r="D19" s="6" t="s">
        <v>73</v>
      </c>
      <c r="E19" s="27">
        <v>0</v>
      </c>
      <c r="F19" s="27">
        <v>0</v>
      </c>
      <c r="G19" s="27">
        <f>+E19+F19</f>
        <v>0</v>
      </c>
      <c r="H19" s="27">
        <f>G19-I19</f>
        <v>0</v>
      </c>
      <c r="I19" s="27">
        <f>F19</f>
        <v>0</v>
      </c>
      <c r="J19" s="65"/>
      <c r="K19" s="29"/>
      <c r="L19" s="6" t="s">
        <v>74</v>
      </c>
      <c r="M19" s="25" t="s">
        <v>75</v>
      </c>
      <c r="N19" s="66">
        <f>H3+H4+H5+H13+H10</f>
        <v>953.27</v>
      </c>
      <c r="O19" s="65" t="s">
        <v>76</v>
      </c>
      <c r="P19" s="67">
        <f>H12+H14+H16</f>
        <v>614.14899999999989</v>
      </c>
      <c r="Q19" s="27">
        <f>+P19+N19</f>
        <v>1567.4189999999999</v>
      </c>
      <c r="R19" s="68"/>
      <c r="S19" s="31">
        <v>9</v>
      </c>
      <c r="T19" s="32" t="s">
        <v>71</v>
      </c>
      <c r="U19" s="24">
        <v>34</v>
      </c>
      <c r="V19" s="38" t="s">
        <v>77</v>
      </c>
      <c r="W19" s="69">
        <f>W17*60/W16</f>
        <v>139.94048904968676</v>
      </c>
      <c r="X19"/>
      <c r="Y19" s="69">
        <f>Y17*60/Y16</f>
        <v>130.96256196642469</v>
      </c>
      <c r="Z19"/>
      <c r="AA19" s="69">
        <f>AA17*60/AA16</f>
        <v>119.87480138668207</v>
      </c>
      <c r="AB19" s="18"/>
      <c r="AC19" s="18"/>
      <c r="AD19" s="18"/>
      <c r="AE19" s="18"/>
      <c r="AF19" s="18"/>
      <c r="AG19" s="18"/>
    </row>
    <row r="20" spans="1:33" ht="14.4" x14ac:dyDescent="0.3">
      <c r="A20" s="63">
        <f>A19-N19</f>
        <v>33.730000000000018</v>
      </c>
      <c r="B20" s="70">
        <f>B19-P19</f>
        <v>8.8510000000001128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31">
        <v>10</v>
      </c>
      <c r="T20" s="32" t="s">
        <v>77</v>
      </c>
      <c r="U20" s="71">
        <f>U19*60/U17</f>
        <v>119.03526789696402</v>
      </c>
      <c r="V20" s="57" t="s">
        <v>78</v>
      </c>
      <c r="W20" s="72">
        <v>5</v>
      </c>
      <c r="X20"/>
      <c r="Y20" s="72">
        <v>12</v>
      </c>
      <c r="Z20"/>
      <c r="AA20" s="72">
        <v>15</v>
      </c>
      <c r="AB20" s="18"/>
      <c r="AC20" s="18"/>
      <c r="AD20" s="18"/>
      <c r="AE20" s="18"/>
      <c r="AF20" s="18"/>
      <c r="AG20" s="18"/>
    </row>
    <row r="21" spans="1:33" ht="42" x14ac:dyDescent="0.3">
      <c r="A21" s="73"/>
      <c r="B21" s="74"/>
      <c r="C21" s="74"/>
      <c r="H21" s="2"/>
      <c r="S21" s="8">
        <v>11</v>
      </c>
      <c r="T21" s="32" t="s">
        <v>78</v>
      </c>
      <c r="U21" s="75">
        <v>6</v>
      </c>
      <c r="V21" s="57" t="s">
        <v>79</v>
      </c>
      <c r="W21" s="72">
        <f>W20+W19</f>
        <v>144.94048904968676</v>
      </c>
      <c r="X21"/>
      <c r="Y21" s="72">
        <f>Y20+Y19</f>
        <v>142.96256196642469</v>
      </c>
      <c r="Z21"/>
      <c r="AA21" s="72">
        <f>AA20+AA19</f>
        <v>134.87480138668207</v>
      </c>
      <c r="AB21" s="18"/>
      <c r="AC21" s="18"/>
      <c r="AD21" s="18"/>
      <c r="AE21" s="18"/>
      <c r="AF21" s="18"/>
      <c r="AG21" s="18"/>
    </row>
    <row r="22" spans="1:33" s="82" customFormat="1" ht="14.4" x14ac:dyDescent="0.3">
      <c r="A22" s="76"/>
      <c r="B22" s="77">
        <f>A12+A16</f>
        <v>-15.66899999999986</v>
      </c>
      <c r="C22" s="78"/>
      <c r="D22" s="2"/>
      <c r="E22" s="79">
        <f>H12+H14+H16</f>
        <v>614.14899999999989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6">
        <v>12</v>
      </c>
      <c r="T22" s="32" t="s">
        <v>79</v>
      </c>
      <c r="U22" s="71">
        <f>U21+U20</f>
        <v>125.03526789696402</v>
      </c>
      <c r="V22" s="38" t="s">
        <v>80</v>
      </c>
      <c r="W22" s="80">
        <f>24*60/W21</f>
        <v>9.9351120548955549</v>
      </c>
      <c r="X22"/>
      <c r="Y22" s="80">
        <f>24*60/Y21</f>
        <v>10.072567112627638</v>
      </c>
      <c r="Z22"/>
      <c r="AA22" s="80">
        <f>24*60/AA21</f>
        <v>10.676568085327983</v>
      </c>
      <c r="AB22" s="81"/>
      <c r="AC22" s="81"/>
      <c r="AD22" s="81"/>
      <c r="AE22" s="81"/>
      <c r="AF22" s="81"/>
      <c r="AG22" s="81"/>
    </row>
    <row r="23" spans="1:33" ht="14.4" x14ac:dyDescent="0.3">
      <c r="A23" s="83"/>
      <c r="B23" s="84"/>
      <c r="C23" s="84"/>
      <c r="E23" s="2">
        <f>B12+B14+B16</f>
        <v>623</v>
      </c>
      <c r="H23" s="2"/>
      <c r="S23" s="6">
        <v>13</v>
      </c>
      <c r="T23" s="32" t="s">
        <v>80</v>
      </c>
      <c r="U23" s="85">
        <f>24*60/U22</f>
        <v>11.5167506274041</v>
      </c>
      <c r="V23" s="57" t="s">
        <v>81</v>
      </c>
      <c r="W23" s="86">
        <f>W22*W17</f>
        <v>337.7938098664489</v>
      </c>
      <c r="X23"/>
      <c r="Y23" s="86">
        <f>Y22*Y17</f>
        <v>342.4672818293397</v>
      </c>
      <c r="Z23"/>
      <c r="AA23" s="86">
        <f>AA22*AA17</f>
        <v>363.00331490115138</v>
      </c>
      <c r="AB23" s="18"/>
      <c r="AC23" s="18"/>
      <c r="AD23" s="18"/>
      <c r="AE23" s="18"/>
      <c r="AF23" s="18"/>
      <c r="AG23" s="18"/>
    </row>
    <row r="24" spans="1:33" ht="15" thickBot="1" x14ac:dyDescent="0.35">
      <c r="A24" s="73"/>
      <c r="B24" s="74"/>
      <c r="C24" s="87"/>
      <c r="E24" s="79">
        <f>E23-E22</f>
        <v>8.8510000000001128</v>
      </c>
      <c r="H24" s="2"/>
      <c r="S24" s="6">
        <v>14</v>
      </c>
      <c r="T24" s="88" t="s">
        <v>81</v>
      </c>
      <c r="U24" s="89">
        <f>U23*U19</f>
        <v>391.5695213317394</v>
      </c>
      <c r="V24" s="57" t="s">
        <v>82</v>
      </c>
      <c r="W24" s="3">
        <v>65</v>
      </c>
      <c r="X24"/>
      <c r="Y24" s="90">
        <f>+W23*W24/Y23</f>
        <v>64.112978980166403</v>
      </c>
      <c r="Z24" s="91"/>
      <c r="AA24" s="90">
        <f>+Y23*Y24/AA23</f>
        <v>60.485942524514222</v>
      </c>
      <c r="AB24" s="18"/>
      <c r="AC24" s="18"/>
      <c r="AD24" s="18"/>
      <c r="AE24" s="18"/>
      <c r="AF24" s="18"/>
      <c r="AG24" s="18"/>
    </row>
    <row r="25" spans="1:33" ht="13.8" x14ac:dyDescent="0.3">
      <c r="A25" s="83"/>
      <c r="B25" s="92"/>
      <c r="C25" s="87"/>
      <c r="H25" s="2"/>
      <c r="S25" s="18"/>
      <c r="T25" s="93"/>
      <c r="U25" s="94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1:33" ht="13.8" x14ac:dyDescent="0.3">
      <c r="A26" s="83"/>
      <c r="B26" s="95"/>
      <c r="C26" s="87"/>
      <c r="H26" s="2"/>
      <c r="S26" s="18"/>
      <c r="T26" s="81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 x14ac:dyDescent="0.2">
      <c r="C27" s="81"/>
      <c r="S27" s="18"/>
      <c r="T27" s="81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 x14ac:dyDescent="0.2">
      <c r="C28" s="81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</sheetData>
  <mergeCells count="3">
    <mergeCell ref="A1:N1"/>
    <mergeCell ref="T1:U1"/>
    <mergeCell ref="C20:R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876D-10A2-4115-BDE4-463000D146F4}">
  <dimension ref="A1:AG28"/>
  <sheetViews>
    <sheetView zoomScale="141" zoomScaleNormal="141" workbookViewId="0">
      <selection activeCell="L4" sqref="L4"/>
    </sheetView>
  </sheetViews>
  <sheetFormatPr defaultColWidth="9.109375" defaultRowHeight="10.199999999999999" x14ac:dyDescent="0.2"/>
  <cols>
    <col min="1" max="1" width="14.109375" style="2" bestFit="1" customWidth="1"/>
    <col min="2" max="2" width="7.88671875" style="2" bestFit="1" customWidth="1"/>
    <col min="3" max="3" width="8.44140625" style="82" bestFit="1" customWidth="1"/>
    <col min="4" max="4" width="17.5546875" style="2" bestFit="1" customWidth="1"/>
    <col min="5" max="5" width="10.88671875" style="2" bestFit="1" customWidth="1"/>
    <col min="6" max="6" width="7.33203125" style="2" bestFit="1" customWidth="1"/>
    <col min="7" max="7" width="9.109375" style="2"/>
    <col min="8" max="8" width="10" style="82" customWidth="1"/>
    <col min="9" max="9" width="9.5546875" style="2" bestFit="1" customWidth="1"/>
    <col min="10" max="10" width="10.44140625" style="2" bestFit="1" customWidth="1"/>
    <col min="11" max="11" width="12" style="2" customWidth="1"/>
    <col min="12" max="12" width="10.109375" style="2" bestFit="1" customWidth="1"/>
    <col min="13" max="13" width="10.5546875" style="2" bestFit="1" customWidth="1"/>
    <col min="14" max="14" width="15" style="2" customWidth="1"/>
    <col min="15" max="15" width="12.109375" style="2" customWidth="1"/>
    <col min="16" max="16" width="15.33203125" style="2" customWidth="1"/>
    <col min="17" max="17" width="7.44140625" style="2" bestFit="1" customWidth="1"/>
    <col min="18" max="18" width="7.6640625" style="2" customWidth="1"/>
    <col min="19" max="19" width="5.33203125" style="2" bestFit="1" customWidth="1"/>
    <col min="20" max="20" width="27.5546875" style="82" customWidth="1"/>
    <col min="21" max="21" width="11.44140625" style="2" bestFit="1" customWidth="1"/>
    <col min="22" max="22" width="30.88671875" style="2" customWidth="1"/>
    <col min="23" max="23" width="11.44140625" style="2" bestFit="1" customWidth="1"/>
    <col min="24" max="24" width="6.109375" style="2" bestFit="1" customWidth="1"/>
    <col min="25" max="25" width="11.44140625" style="2" bestFit="1" customWidth="1"/>
    <col min="26" max="26" width="5.44140625" style="2" bestFit="1" customWidth="1"/>
    <col min="27" max="27" width="11.44140625" style="2" bestFit="1" customWidth="1"/>
    <col min="28" max="28" width="6.6640625" style="2" bestFit="1" customWidth="1"/>
    <col min="29" max="29" width="5.5546875" style="2" bestFit="1" customWidth="1"/>
    <col min="30" max="30" width="7" style="2" bestFit="1" customWidth="1"/>
    <col min="31" max="31" width="4.44140625" style="2" bestFit="1" customWidth="1"/>
    <col min="32" max="16384" width="9.109375" style="2"/>
  </cols>
  <sheetData>
    <row r="1" spans="1:33" ht="15" thickBot="1" x14ac:dyDescent="0.35">
      <c r="A1" s="96" t="s">
        <v>85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1" t="s">
        <v>0</v>
      </c>
      <c r="P1" s="1" t="s">
        <v>1</v>
      </c>
      <c r="Q1" s="1"/>
      <c r="R1" s="1"/>
      <c r="T1" s="97" t="s">
        <v>2</v>
      </c>
      <c r="U1" s="98"/>
      <c r="V1" s="3" t="s">
        <v>3</v>
      </c>
      <c r="W1" s="4">
        <v>0.5</v>
      </c>
      <c r="X1"/>
      <c r="Y1" s="5">
        <v>0.4</v>
      </c>
      <c r="Z1"/>
      <c r="AA1" s="5">
        <v>0.3</v>
      </c>
    </row>
    <row r="2" spans="1:33" ht="14.4" x14ac:dyDescent="0.3">
      <c r="A2" s="6" t="s">
        <v>4</v>
      </c>
      <c r="B2" s="7" t="s">
        <v>5</v>
      </c>
      <c r="C2" s="8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8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9" t="s">
        <v>17</v>
      </c>
      <c r="O2" s="10">
        <v>408.76499999999999</v>
      </c>
      <c r="P2" s="11">
        <v>5.0999999999999996</v>
      </c>
      <c r="Q2" s="6" t="s">
        <v>18</v>
      </c>
      <c r="R2" s="6" t="s">
        <v>19</v>
      </c>
      <c r="S2" s="12" t="s">
        <v>20</v>
      </c>
      <c r="T2" s="13" t="s">
        <v>21</v>
      </c>
      <c r="U2" s="14" t="s">
        <v>22</v>
      </c>
      <c r="V2" s="15" t="s">
        <v>21</v>
      </c>
      <c r="W2" s="16" t="s">
        <v>22</v>
      </c>
      <c r="X2"/>
      <c r="Y2" s="17" t="s">
        <v>22</v>
      </c>
      <c r="Z2"/>
      <c r="AA2" s="17" t="s">
        <v>22</v>
      </c>
      <c r="AB2" s="18"/>
      <c r="AC2" s="18"/>
      <c r="AD2" s="19"/>
      <c r="AE2" s="20"/>
      <c r="AF2" s="21"/>
      <c r="AG2" s="22"/>
    </row>
    <row r="3" spans="1:33" ht="14.4" x14ac:dyDescent="0.3">
      <c r="A3" s="23">
        <f>+B3-H3</f>
        <v>17.049999999999955</v>
      </c>
      <c r="B3" s="24">
        <v>500</v>
      </c>
      <c r="C3" s="25">
        <v>1</v>
      </c>
      <c r="D3" s="6" t="s">
        <v>23</v>
      </c>
      <c r="E3" s="26">
        <v>547.95000000000005</v>
      </c>
      <c r="F3" s="26">
        <v>0</v>
      </c>
      <c r="G3" s="27">
        <f>E3+F3</f>
        <v>547.95000000000005</v>
      </c>
      <c r="H3" s="26">
        <f>G3-I3</f>
        <v>482.95000000000005</v>
      </c>
      <c r="I3" s="27">
        <v>65</v>
      </c>
      <c r="J3" s="28">
        <f>I3/I17*100</f>
        <v>13.771186440677965</v>
      </c>
      <c r="K3" s="29">
        <f>+J3*L3%</f>
        <v>11.067902542372883</v>
      </c>
      <c r="L3" s="30">
        <v>80.37</v>
      </c>
      <c r="M3" s="27">
        <v>407.327</v>
      </c>
      <c r="N3" s="28">
        <f>U24</f>
        <v>397.82693117174165</v>
      </c>
      <c r="O3" s="30" t="s">
        <v>24</v>
      </c>
      <c r="P3" s="27" t="s">
        <v>25</v>
      </c>
      <c r="Q3" s="6">
        <v>16</v>
      </c>
      <c r="R3" s="29">
        <f>Q3-J3</f>
        <v>2.2288135593220346</v>
      </c>
      <c r="S3" s="31"/>
      <c r="T3" s="32" t="s">
        <v>26</v>
      </c>
      <c r="U3" s="24">
        <v>30</v>
      </c>
      <c r="V3" s="33" t="s">
        <v>26</v>
      </c>
      <c r="W3" s="34">
        <v>30</v>
      </c>
      <c r="X3"/>
      <c r="Y3" s="34">
        <v>30</v>
      </c>
      <c r="Z3"/>
      <c r="AA3" s="34">
        <v>30</v>
      </c>
      <c r="AB3" s="18"/>
      <c r="AC3" s="18"/>
      <c r="AD3" s="18"/>
      <c r="AE3" s="35"/>
      <c r="AF3" s="18"/>
      <c r="AG3" s="18"/>
    </row>
    <row r="4" spans="1:33" ht="14.4" x14ac:dyDescent="0.3">
      <c r="A4" s="23">
        <f t="shared" ref="A4:A15" si="0">+B4-H4</f>
        <v>-7.9300000000000068</v>
      </c>
      <c r="B4" s="24">
        <v>219</v>
      </c>
      <c r="C4" s="25">
        <v>2</v>
      </c>
      <c r="D4" s="6" t="s">
        <v>27</v>
      </c>
      <c r="E4" s="26">
        <v>232.72</v>
      </c>
      <c r="F4" s="26">
        <v>46.21</v>
      </c>
      <c r="G4" s="27">
        <f>E4+F4</f>
        <v>278.93</v>
      </c>
      <c r="H4" s="26">
        <f t="shared" ref="H4:H16" si="1">G4-I4</f>
        <v>226.93</v>
      </c>
      <c r="I4" s="27">
        <v>52</v>
      </c>
      <c r="J4" s="28">
        <f>I4/I17*100</f>
        <v>11.016949152542372</v>
      </c>
      <c r="K4" s="29">
        <f t="shared" ref="K4:K13" si="2">+J4*L4%</f>
        <v>8.4610169491525422</v>
      </c>
      <c r="L4" s="30">
        <v>76.8</v>
      </c>
      <c r="M4" s="6" t="s">
        <v>28</v>
      </c>
      <c r="N4" s="6" t="s">
        <v>29</v>
      </c>
      <c r="O4" s="36">
        <v>264594</v>
      </c>
      <c r="P4" s="36">
        <v>23009</v>
      </c>
      <c r="Q4" s="6">
        <v>13</v>
      </c>
      <c r="R4" s="29">
        <f t="shared" ref="R4:R17" si="3">Q4-J4</f>
        <v>1.9830508474576281</v>
      </c>
      <c r="S4" s="31">
        <v>1</v>
      </c>
      <c r="T4" s="32" t="s">
        <v>30</v>
      </c>
      <c r="U4" s="37">
        <f>M17</f>
        <v>86.602754237288138</v>
      </c>
      <c r="V4" s="38" t="s">
        <v>30</v>
      </c>
      <c r="W4" s="39">
        <v>86.44</v>
      </c>
      <c r="X4"/>
      <c r="Y4" s="39">
        <f>U4</f>
        <v>86.602754237288138</v>
      </c>
      <c r="Z4"/>
      <c r="AA4" s="39">
        <v>84.28</v>
      </c>
      <c r="AB4" s="18"/>
      <c r="AC4" s="18"/>
      <c r="AD4" s="18"/>
      <c r="AE4" s="18"/>
      <c r="AF4" s="18"/>
      <c r="AG4" s="18"/>
    </row>
    <row r="5" spans="1:33" ht="14.4" x14ac:dyDescent="0.3">
      <c r="A5" s="23">
        <f t="shared" si="0"/>
        <v>21.180000000000007</v>
      </c>
      <c r="B5" s="24">
        <v>180</v>
      </c>
      <c r="C5" s="25">
        <v>3</v>
      </c>
      <c r="D5" s="6" t="s">
        <v>31</v>
      </c>
      <c r="E5" s="26">
        <v>146.84</v>
      </c>
      <c r="F5" s="26">
        <v>123.98</v>
      </c>
      <c r="G5" s="27">
        <f>E5+F5</f>
        <v>270.82</v>
      </c>
      <c r="H5" s="26">
        <f t="shared" si="1"/>
        <v>158.82</v>
      </c>
      <c r="I5" s="27">
        <v>112</v>
      </c>
      <c r="J5" s="28">
        <f>I5/I17*100</f>
        <v>23.728813559322035</v>
      </c>
      <c r="K5" s="29">
        <f t="shared" si="2"/>
        <v>18.726779661016948</v>
      </c>
      <c r="L5" s="30">
        <v>78.92</v>
      </c>
      <c r="M5" s="36">
        <f>O4/O2</f>
        <v>647.30101647645961</v>
      </c>
      <c r="N5" s="36">
        <f>+U12</f>
        <v>654.52065782274713</v>
      </c>
      <c r="O5" s="36">
        <f>+N5-M5</f>
        <v>7.2196413462875171</v>
      </c>
      <c r="P5" s="36">
        <f>+P4/O2</f>
        <v>56.289065844678483</v>
      </c>
      <c r="Q5" s="6">
        <v>18</v>
      </c>
      <c r="R5" s="29">
        <f t="shared" si="3"/>
        <v>-5.7288135593220346</v>
      </c>
      <c r="S5" s="31"/>
      <c r="T5" s="32" t="s">
        <v>32</v>
      </c>
      <c r="U5" s="40" t="s">
        <v>33</v>
      </c>
      <c r="V5" s="38" t="s">
        <v>32</v>
      </c>
      <c r="W5" s="41" t="s">
        <v>33</v>
      </c>
      <c r="X5"/>
      <c r="Y5" s="41" t="s">
        <v>33</v>
      </c>
      <c r="Z5"/>
      <c r="AA5" s="41" t="s">
        <v>33</v>
      </c>
      <c r="AB5" s="18"/>
      <c r="AC5" s="18"/>
      <c r="AD5" s="42"/>
      <c r="AE5" s="18"/>
      <c r="AF5" s="18"/>
      <c r="AG5" s="18"/>
    </row>
    <row r="6" spans="1:33" ht="14.4" x14ac:dyDescent="0.3">
      <c r="A6" s="23">
        <f t="shared" si="0"/>
        <v>36.449999999999989</v>
      </c>
      <c r="B6" s="24">
        <v>351</v>
      </c>
      <c r="C6" s="25">
        <v>4</v>
      </c>
      <c r="D6" s="6" t="s">
        <v>34</v>
      </c>
      <c r="E6" s="26">
        <v>314.55</v>
      </c>
      <c r="F6" s="26">
        <v>0</v>
      </c>
      <c r="G6" s="27">
        <f t="shared" ref="G6:G16" si="4">E6+F6</f>
        <v>314.55</v>
      </c>
      <c r="H6" s="26">
        <f>G6-I6</f>
        <v>314.55</v>
      </c>
      <c r="I6" s="27">
        <v>0</v>
      </c>
      <c r="J6" s="28">
        <f>I6/I17*100</f>
        <v>0</v>
      </c>
      <c r="K6" s="29">
        <f t="shared" si="2"/>
        <v>0</v>
      </c>
      <c r="L6" s="6">
        <v>94</v>
      </c>
      <c r="M6" s="6" t="s">
        <v>35</v>
      </c>
      <c r="N6" s="6"/>
      <c r="O6" s="6" t="s">
        <v>36</v>
      </c>
      <c r="P6" s="6">
        <v>2626</v>
      </c>
      <c r="Q6" s="6">
        <v>0</v>
      </c>
      <c r="R6" s="29">
        <f t="shared" si="3"/>
        <v>0</v>
      </c>
      <c r="S6" s="31"/>
      <c r="T6" s="32" t="s">
        <v>37</v>
      </c>
      <c r="U6" s="40" t="s">
        <v>38</v>
      </c>
      <c r="V6" s="38" t="s">
        <v>37</v>
      </c>
      <c r="W6" s="41" t="s">
        <v>39</v>
      </c>
      <c r="X6"/>
      <c r="Y6" s="41" t="s">
        <v>39</v>
      </c>
      <c r="Z6"/>
      <c r="AA6" s="41" t="s">
        <v>39</v>
      </c>
      <c r="AB6" s="43"/>
      <c r="AC6" s="44"/>
      <c r="AD6" s="44"/>
      <c r="AE6" s="44"/>
      <c r="AF6" s="18"/>
      <c r="AG6" s="18"/>
    </row>
    <row r="7" spans="1:33" ht="14.4" x14ac:dyDescent="0.3">
      <c r="A7" s="23">
        <v>0</v>
      </c>
      <c r="B7" s="24">
        <v>0</v>
      </c>
      <c r="C7" s="25">
        <v>5</v>
      </c>
      <c r="D7" s="6" t="s">
        <v>40</v>
      </c>
      <c r="E7" s="26">
        <v>0</v>
      </c>
      <c r="F7" s="26">
        <v>0</v>
      </c>
      <c r="G7" s="27">
        <f t="shared" si="4"/>
        <v>0</v>
      </c>
      <c r="H7" s="26">
        <f t="shared" si="1"/>
        <v>0</v>
      </c>
      <c r="I7" s="27">
        <v>0</v>
      </c>
      <c r="J7" s="28">
        <f>I7/I17*100</f>
        <v>0</v>
      </c>
      <c r="K7" s="29">
        <f t="shared" si="2"/>
        <v>0</v>
      </c>
      <c r="L7" s="6">
        <v>88</v>
      </c>
      <c r="M7" s="36">
        <f>+P5+P8</f>
        <v>62.713294924956884</v>
      </c>
      <c r="N7" s="36">
        <v>67</v>
      </c>
      <c r="O7" s="36">
        <f>+N7-M7</f>
        <v>4.2867050750431162</v>
      </c>
      <c r="P7" s="36"/>
      <c r="Q7" s="6">
        <v>0</v>
      </c>
      <c r="R7" s="29">
        <f t="shared" si="3"/>
        <v>0</v>
      </c>
      <c r="S7" s="31">
        <v>2</v>
      </c>
      <c r="T7" s="32" t="s">
        <v>41</v>
      </c>
      <c r="U7" s="40">
        <v>455</v>
      </c>
      <c r="V7" s="38" t="s">
        <v>41</v>
      </c>
      <c r="W7" s="41">
        <v>465</v>
      </c>
      <c r="X7"/>
      <c r="Y7" s="41">
        <v>455</v>
      </c>
      <c r="Z7"/>
      <c r="AA7" s="41">
        <v>455</v>
      </c>
      <c r="AB7" s="18"/>
      <c r="AC7" s="18"/>
      <c r="AD7" s="42"/>
      <c r="AE7" s="18"/>
      <c r="AF7" s="18"/>
      <c r="AG7" s="18"/>
    </row>
    <row r="8" spans="1:33" ht="14.4" x14ac:dyDescent="0.3">
      <c r="A8" s="23">
        <f t="shared" si="0"/>
        <v>19.675000000000001</v>
      </c>
      <c r="B8" s="24">
        <v>47</v>
      </c>
      <c r="C8" s="25">
        <v>6</v>
      </c>
      <c r="D8" s="6" t="s">
        <v>42</v>
      </c>
      <c r="E8" s="26">
        <v>26.625</v>
      </c>
      <c r="F8" s="26">
        <v>0.7</v>
      </c>
      <c r="G8" s="27">
        <f t="shared" si="4"/>
        <v>27.324999999999999</v>
      </c>
      <c r="H8" s="26">
        <f t="shared" si="1"/>
        <v>27.324999999999999</v>
      </c>
      <c r="I8" s="27">
        <v>0</v>
      </c>
      <c r="J8" s="28">
        <f>I8/I17*100</f>
        <v>0</v>
      </c>
      <c r="K8" s="29">
        <f t="shared" si="2"/>
        <v>0</v>
      </c>
      <c r="L8" s="6">
        <v>90</v>
      </c>
      <c r="M8" s="30" t="s">
        <v>43</v>
      </c>
      <c r="N8" s="30" t="s">
        <v>44</v>
      </c>
      <c r="O8" s="6" t="s">
        <v>45</v>
      </c>
      <c r="P8" s="36">
        <f>+P6/O2</f>
        <v>6.4242290802783995</v>
      </c>
      <c r="Q8" s="6">
        <v>0</v>
      </c>
      <c r="R8" s="29">
        <f t="shared" si="3"/>
        <v>0</v>
      </c>
      <c r="S8" s="31"/>
      <c r="T8" s="32"/>
      <c r="U8" s="40"/>
      <c r="V8" s="38" t="s">
        <v>46</v>
      </c>
      <c r="W8" s="45">
        <f>((W7*(2-W4/100))/(W4/100))</f>
        <v>610.89079130032405</v>
      </c>
      <c r="X8"/>
      <c r="Y8" s="45">
        <f>((Y7*(2-Y4/100))/(Y4/100))</f>
        <v>595.77489511088277</v>
      </c>
      <c r="Z8"/>
      <c r="AA8" s="45">
        <f>((AA7*(2-AA4/100))/(AA4/100))</f>
        <v>624.73421926910294</v>
      </c>
      <c r="AB8" s="18"/>
      <c r="AC8" s="18"/>
      <c r="AD8" s="42"/>
      <c r="AE8" s="18"/>
      <c r="AF8" s="18"/>
      <c r="AG8" s="18"/>
    </row>
    <row r="9" spans="1:33" ht="14.4" x14ac:dyDescent="0.3">
      <c r="A9" s="23">
        <f t="shared" si="0"/>
        <v>0</v>
      </c>
      <c r="B9" s="24">
        <v>0</v>
      </c>
      <c r="C9" s="25">
        <v>7</v>
      </c>
      <c r="D9" s="6" t="s">
        <v>47</v>
      </c>
      <c r="E9" s="26">
        <v>0</v>
      </c>
      <c r="F9" s="26">
        <v>0</v>
      </c>
      <c r="G9" s="46">
        <f t="shared" si="4"/>
        <v>0</v>
      </c>
      <c r="H9" s="26">
        <f t="shared" si="1"/>
        <v>0</v>
      </c>
      <c r="I9" s="27">
        <v>0</v>
      </c>
      <c r="J9" s="28">
        <f>I9/I17*100</f>
        <v>0</v>
      </c>
      <c r="K9" s="29">
        <f t="shared" si="2"/>
        <v>0</v>
      </c>
      <c r="L9" s="6">
        <v>93</v>
      </c>
      <c r="M9" s="36">
        <f>+M5+M7</f>
        <v>710.01431140141653</v>
      </c>
      <c r="N9" s="36">
        <f>+N5+N7</f>
        <v>721.52065782274713</v>
      </c>
      <c r="O9" s="36">
        <f>+N9-M9</f>
        <v>11.506346421330591</v>
      </c>
      <c r="P9" s="36"/>
      <c r="Q9" s="6">
        <v>0</v>
      </c>
      <c r="R9" s="29">
        <f t="shared" si="3"/>
        <v>0</v>
      </c>
      <c r="S9" s="31" t="s">
        <v>48</v>
      </c>
      <c r="T9" s="32" t="s">
        <v>46</v>
      </c>
      <c r="U9" s="47">
        <f>((U7*(2-U4/100))/(U4/100))</f>
        <v>595.77489511088277</v>
      </c>
      <c r="V9" s="38" t="s">
        <v>49</v>
      </c>
      <c r="W9" s="45">
        <v>24</v>
      </c>
      <c r="X9"/>
      <c r="Y9" s="45">
        <v>24</v>
      </c>
      <c r="Z9"/>
      <c r="AA9" s="45">
        <v>24</v>
      </c>
      <c r="AB9" s="18"/>
      <c r="AC9" s="18"/>
      <c r="AD9" s="42"/>
      <c r="AE9" s="18"/>
      <c r="AF9" s="18"/>
      <c r="AG9" s="18"/>
    </row>
    <row r="10" spans="1:33" ht="14.4" x14ac:dyDescent="0.3">
      <c r="A10" s="23">
        <f t="shared" si="0"/>
        <v>0</v>
      </c>
      <c r="B10" s="24">
        <v>0</v>
      </c>
      <c r="C10" s="25">
        <v>8</v>
      </c>
      <c r="D10" s="6" t="s">
        <v>50</v>
      </c>
      <c r="E10" s="26">
        <v>0</v>
      </c>
      <c r="F10" s="26">
        <v>0</v>
      </c>
      <c r="G10" s="27">
        <f t="shared" si="4"/>
        <v>0</v>
      </c>
      <c r="H10" s="26">
        <f t="shared" si="1"/>
        <v>0</v>
      </c>
      <c r="I10" s="27">
        <v>0</v>
      </c>
      <c r="J10" s="28">
        <f>I10/I17*100</f>
        <v>0</v>
      </c>
      <c r="K10" s="29">
        <f t="shared" si="2"/>
        <v>0</v>
      </c>
      <c r="L10" s="6">
        <v>70</v>
      </c>
      <c r="M10" s="6"/>
      <c r="N10" s="6"/>
      <c r="O10" s="6"/>
      <c r="P10" s="6"/>
      <c r="Q10" s="6">
        <v>0</v>
      </c>
      <c r="R10" s="29">
        <f t="shared" si="3"/>
        <v>0</v>
      </c>
      <c r="S10" s="31" t="s">
        <v>51</v>
      </c>
      <c r="T10" s="32" t="s">
        <v>49</v>
      </c>
      <c r="U10" s="47">
        <v>24</v>
      </c>
      <c r="V10" s="38" t="s">
        <v>52</v>
      </c>
      <c r="W10" s="45">
        <v>20</v>
      </c>
      <c r="X10"/>
      <c r="Y10" s="45">
        <f>U11</f>
        <v>34.745762711864408</v>
      </c>
      <c r="Z10"/>
      <c r="AA10" s="45">
        <v>25</v>
      </c>
      <c r="AB10" s="18"/>
      <c r="AC10" s="18"/>
      <c r="AD10" s="42"/>
      <c r="AE10" s="18"/>
      <c r="AF10" s="18"/>
      <c r="AG10" s="18"/>
    </row>
    <row r="11" spans="1:33" ht="14.4" x14ac:dyDescent="0.3">
      <c r="A11" s="23">
        <f t="shared" si="0"/>
        <v>5</v>
      </c>
      <c r="B11" s="24">
        <v>5</v>
      </c>
      <c r="C11" s="25">
        <v>9</v>
      </c>
      <c r="D11" s="6" t="s">
        <v>53</v>
      </c>
      <c r="E11" s="26">
        <v>0</v>
      </c>
      <c r="F11" s="26">
        <v>0</v>
      </c>
      <c r="G11" s="27">
        <f>E11+F11</f>
        <v>0</v>
      </c>
      <c r="H11" s="26">
        <f t="shared" si="1"/>
        <v>0</v>
      </c>
      <c r="I11" s="27">
        <v>0</v>
      </c>
      <c r="J11" s="28">
        <f>I11/I17*100</f>
        <v>0</v>
      </c>
      <c r="K11" s="29">
        <f t="shared" si="2"/>
        <v>0</v>
      </c>
      <c r="L11" s="6">
        <v>98</v>
      </c>
      <c r="M11" s="6"/>
      <c r="N11" s="6"/>
      <c r="O11" s="6"/>
      <c r="P11" s="6"/>
      <c r="Q11" s="6">
        <v>0</v>
      </c>
      <c r="R11" s="29">
        <f t="shared" si="3"/>
        <v>0</v>
      </c>
      <c r="S11" s="31"/>
      <c r="T11" s="32" t="s">
        <v>54</v>
      </c>
      <c r="U11" s="47">
        <f>J5+J4</f>
        <v>34.745762711864408</v>
      </c>
      <c r="V11" s="38" t="s">
        <v>55</v>
      </c>
      <c r="W11" s="45">
        <f>SUM(W8:W10)</f>
        <v>654.89079130032405</v>
      </c>
      <c r="X11"/>
      <c r="Y11" s="45">
        <f>SUM(Y8:Y10)</f>
        <v>654.52065782274713</v>
      </c>
      <c r="Z11"/>
      <c r="AA11" s="45">
        <f>SUM(AA8:AA10)</f>
        <v>673.73421926910294</v>
      </c>
      <c r="AB11" s="18"/>
      <c r="AC11" s="18"/>
      <c r="AD11" s="42"/>
      <c r="AE11" s="18"/>
      <c r="AF11" s="18"/>
      <c r="AG11" s="18"/>
    </row>
    <row r="12" spans="1:33" ht="14.4" x14ac:dyDescent="0.3">
      <c r="A12" s="48">
        <f>+B12-H12</f>
        <v>-7.0489999999999782</v>
      </c>
      <c r="B12" s="24">
        <v>564</v>
      </c>
      <c r="C12" s="25">
        <v>10</v>
      </c>
      <c r="D12" s="6" t="s">
        <v>56</v>
      </c>
      <c r="E12" s="49">
        <v>576.42899999999997</v>
      </c>
      <c r="F12" s="26">
        <v>218.62</v>
      </c>
      <c r="G12" s="27">
        <f>E12+F12</f>
        <v>795.04899999999998</v>
      </c>
      <c r="H12" s="49">
        <f>G12-I12</f>
        <v>571.04899999999998</v>
      </c>
      <c r="I12" s="46">
        <v>224</v>
      </c>
      <c r="J12" s="28">
        <f>I12/I17*100</f>
        <v>47.457627118644069</v>
      </c>
      <c r="K12" s="29">
        <f t="shared" si="2"/>
        <v>44.13559322033899</v>
      </c>
      <c r="L12" s="6">
        <v>93</v>
      </c>
      <c r="M12" s="36"/>
      <c r="N12" s="6"/>
      <c r="O12" s="6"/>
      <c r="P12" s="6"/>
      <c r="Q12" s="6">
        <v>48</v>
      </c>
      <c r="R12" s="29">
        <f t="shared" si="3"/>
        <v>0.54237288135593076</v>
      </c>
      <c r="S12" s="31" t="s">
        <v>57</v>
      </c>
      <c r="T12" s="32" t="s">
        <v>55</v>
      </c>
      <c r="U12" s="47">
        <f>U9+U10+U11</f>
        <v>654.52065782274713</v>
      </c>
      <c r="V12" s="38" t="s">
        <v>58</v>
      </c>
      <c r="W12" s="50">
        <v>16</v>
      </c>
      <c r="X12"/>
      <c r="Y12" s="50">
        <v>16</v>
      </c>
      <c r="Z12"/>
      <c r="AA12" s="50">
        <v>16</v>
      </c>
      <c r="AB12" s="18"/>
      <c r="AC12" s="18"/>
      <c r="AD12" s="42"/>
      <c r="AE12" s="18"/>
      <c r="AF12" s="18"/>
      <c r="AG12" s="18"/>
    </row>
    <row r="13" spans="1:33" ht="14.4" x14ac:dyDescent="0.3">
      <c r="A13" s="23">
        <f t="shared" si="0"/>
        <v>1.2399999999999984</v>
      </c>
      <c r="B13" s="24">
        <v>20</v>
      </c>
      <c r="C13" s="25">
        <v>11</v>
      </c>
      <c r="D13" s="6" t="s">
        <v>60</v>
      </c>
      <c r="E13" s="26">
        <v>25.76</v>
      </c>
      <c r="F13" s="26">
        <v>0</v>
      </c>
      <c r="G13" s="27">
        <f>E13+F13</f>
        <v>25.76</v>
      </c>
      <c r="H13" s="26">
        <f>G13-I13</f>
        <v>18.760000000000002</v>
      </c>
      <c r="I13" s="27">
        <v>7</v>
      </c>
      <c r="J13" s="28">
        <f>I13/I17*100</f>
        <v>1.4830508474576272</v>
      </c>
      <c r="K13" s="29">
        <f t="shared" si="2"/>
        <v>1.0179661016949153</v>
      </c>
      <c r="L13" s="6">
        <v>68.64</v>
      </c>
      <c r="M13" s="24" t="s">
        <v>61</v>
      </c>
      <c r="N13" s="6">
        <v>12</v>
      </c>
      <c r="O13" s="6" t="s">
        <v>62</v>
      </c>
      <c r="P13" s="53"/>
      <c r="Q13" s="6">
        <v>2</v>
      </c>
      <c r="R13" s="29">
        <f t="shared" si="3"/>
        <v>0.51694915254237284</v>
      </c>
      <c r="S13" s="31">
        <v>5</v>
      </c>
      <c r="T13" s="32" t="s">
        <v>58</v>
      </c>
      <c r="U13" s="24">
        <v>20</v>
      </c>
      <c r="V13" s="38" t="s">
        <v>63</v>
      </c>
      <c r="W13" s="34">
        <v>10060</v>
      </c>
      <c r="X13"/>
      <c r="Y13" s="34">
        <v>10670</v>
      </c>
      <c r="Z13"/>
      <c r="AA13" s="34">
        <v>12000</v>
      </c>
      <c r="AB13" s="18"/>
      <c r="AC13" s="18"/>
      <c r="AD13" s="42"/>
      <c r="AE13" s="18"/>
      <c r="AF13" s="18"/>
      <c r="AG13" s="18"/>
    </row>
    <row r="14" spans="1:33" ht="14.4" x14ac:dyDescent="0.3">
      <c r="A14" s="23">
        <f t="shared" si="0"/>
        <v>21.53</v>
      </c>
      <c r="B14" s="24">
        <v>55</v>
      </c>
      <c r="C14" s="25">
        <v>12</v>
      </c>
      <c r="D14" s="6" t="s">
        <v>64</v>
      </c>
      <c r="E14" s="26">
        <v>36.479999999999997</v>
      </c>
      <c r="F14" s="26">
        <v>8.99</v>
      </c>
      <c r="G14" s="27">
        <f>E14+F14</f>
        <v>45.47</v>
      </c>
      <c r="H14" s="26">
        <f t="shared" si="1"/>
        <v>33.47</v>
      </c>
      <c r="I14" s="27">
        <v>12</v>
      </c>
      <c r="J14" s="28">
        <f>I14/I17*100</f>
        <v>2.5423728813559325</v>
      </c>
      <c r="K14" s="29">
        <f>+J14*L14%</f>
        <v>2.491525423728814</v>
      </c>
      <c r="L14" s="6">
        <v>98</v>
      </c>
      <c r="M14" s="6"/>
      <c r="N14" s="6"/>
      <c r="O14" s="6"/>
      <c r="P14" s="30"/>
      <c r="Q14" s="6">
        <v>3</v>
      </c>
      <c r="R14" s="29">
        <f t="shared" si="3"/>
        <v>0.45762711864406747</v>
      </c>
      <c r="S14" s="31">
        <v>6</v>
      </c>
      <c r="T14" s="32" t="s">
        <v>63</v>
      </c>
      <c r="U14" s="24">
        <v>12000</v>
      </c>
      <c r="V14" s="38" t="s">
        <v>65</v>
      </c>
      <c r="W14" s="54">
        <v>0.92</v>
      </c>
      <c r="X14"/>
      <c r="Y14" s="54">
        <v>0.92</v>
      </c>
      <c r="Z14"/>
      <c r="AA14" s="54">
        <v>0.92</v>
      </c>
      <c r="AB14" s="18"/>
      <c r="AC14" s="18"/>
      <c r="AD14" s="42"/>
      <c r="AE14" s="18"/>
      <c r="AF14" s="18"/>
      <c r="AG14" s="18"/>
    </row>
    <row r="15" spans="1:33" ht="14.4" x14ac:dyDescent="0.3">
      <c r="A15" s="23">
        <f t="shared" si="0"/>
        <v>0</v>
      </c>
      <c r="B15" s="24">
        <v>0</v>
      </c>
      <c r="C15" s="25">
        <v>13</v>
      </c>
      <c r="D15" s="6" t="s">
        <v>1</v>
      </c>
      <c r="E15" s="26">
        <v>0</v>
      </c>
      <c r="F15" s="26">
        <v>0</v>
      </c>
      <c r="G15" s="27">
        <f>E15+F15</f>
        <v>0</v>
      </c>
      <c r="H15" s="26">
        <f>G15-I15</f>
        <v>0</v>
      </c>
      <c r="I15" s="27">
        <v>0</v>
      </c>
      <c r="J15" s="28">
        <f>I15/I17*100</f>
        <v>0</v>
      </c>
      <c r="K15" s="29">
        <f>J15*L15</f>
        <v>0</v>
      </c>
      <c r="L15" s="55">
        <v>0.98</v>
      </c>
      <c r="M15" s="6"/>
      <c r="N15" s="6"/>
      <c r="O15" s="6"/>
      <c r="P15" s="30"/>
      <c r="Q15" s="6"/>
      <c r="R15" s="29"/>
      <c r="S15" s="31"/>
      <c r="T15" s="32"/>
      <c r="U15" s="24"/>
      <c r="V15" s="38"/>
      <c r="W15" s="54"/>
      <c r="X15"/>
      <c r="Y15" s="54"/>
      <c r="Z15"/>
      <c r="AA15" s="54"/>
      <c r="AB15" s="18"/>
      <c r="AC15" s="18"/>
      <c r="AD15" s="42"/>
      <c r="AE15" s="18"/>
      <c r="AF15" s="18"/>
      <c r="AG15" s="18"/>
    </row>
    <row r="16" spans="1:33" ht="14.4" x14ac:dyDescent="0.3">
      <c r="A16" s="23">
        <f>+B16-H16</f>
        <v>-0.24</v>
      </c>
      <c r="B16" s="24">
        <v>1</v>
      </c>
      <c r="C16" s="25">
        <v>14</v>
      </c>
      <c r="D16" s="6" t="s">
        <v>66</v>
      </c>
      <c r="E16" s="26">
        <v>1.24</v>
      </c>
      <c r="F16" s="26">
        <v>0</v>
      </c>
      <c r="G16" s="27">
        <f t="shared" si="4"/>
        <v>1.24</v>
      </c>
      <c r="H16" s="26">
        <f t="shared" si="1"/>
        <v>1.24</v>
      </c>
      <c r="I16" s="27">
        <v>0</v>
      </c>
      <c r="J16" s="28">
        <f>I16/I17*100</f>
        <v>0</v>
      </c>
      <c r="K16" s="29">
        <f>+J16*L16%</f>
        <v>0</v>
      </c>
      <c r="L16" s="6">
        <v>94</v>
      </c>
      <c r="M16" s="8" t="s">
        <v>67</v>
      </c>
      <c r="N16" s="6" t="s">
        <v>68</v>
      </c>
      <c r="O16" s="36" t="s">
        <v>69</v>
      </c>
      <c r="P16" s="6"/>
      <c r="Q16" s="6"/>
      <c r="R16" s="29"/>
      <c r="S16" s="31">
        <v>7</v>
      </c>
      <c r="T16" s="32" t="s">
        <v>65</v>
      </c>
      <c r="U16" s="56">
        <v>0.9</v>
      </c>
      <c r="V16" s="57" t="s">
        <v>70</v>
      </c>
      <c r="W16" s="58">
        <f>(W13*W14)/(W11-W10)</f>
        <v>14.577625202350729</v>
      </c>
      <c r="X16"/>
      <c r="Y16" s="58">
        <f>(Y13*Y14)/(Y11-Y10)</f>
        <v>15.838653803884338</v>
      </c>
      <c r="Z16"/>
      <c r="AA16" s="58">
        <f>(AA13*AA14)/(AA11-AA10)</f>
        <v>17.017754994392352</v>
      </c>
      <c r="AB16" s="18"/>
      <c r="AC16" s="18"/>
      <c r="AD16" s="42"/>
      <c r="AE16" s="18"/>
      <c r="AF16" s="18"/>
      <c r="AG16" s="18"/>
    </row>
    <row r="17" spans="1:33" ht="14.4" x14ac:dyDescent="0.3">
      <c r="A17" s="59">
        <f>+B17-H17</f>
        <v>106.90599999999995</v>
      </c>
      <c r="B17" s="6">
        <f>SUM(B3:B14)+B16</f>
        <v>1942</v>
      </c>
      <c r="C17" s="8"/>
      <c r="D17" s="6" t="s">
        <v>10</v>
      </c>
      <c r="E17" s="26">
        <f>SUM(E3:E16)</f>
        <v>1908.5940000000001</v>
      </c>
      <c r="F17" s="27">
        <f>SUM(F3:F16)</f>
        <v>398.5</v>
      </c>
      <c r="G17" s="27">
        <f>E17+F17</f>
        <v>2307.0940000000001</v>
      </c>
      <c r="H17" s="26">
        <f>SUM(H3:H16)</f>
        <v>1835.0940000000001</v>
      </c>
      <c r="I17" s="27">
        <f>SUM(I3:I16)</f>
        <v>472</v>
      </c>
      <c r="J17" s="28">
        <f>SUM(J3:J16)</f>
        <v>100</v>
      </c>
      <c r="K17" s="29">
        <f>SUM(K3:K16)</f>
        <v>85.900783898305093</v>
      </c>
      <c r="L17" s="6"/>
      <c r="M17" s="30">
        <f>+O2/I17*100</f>
        <v>86.602754237288138</v>
      </c>
      <c r="N17" s="60">
        <f>+K17</f>
        <v>85.900783898305093</v>
      </c>
      <c r="O17" s="27">
        <f>+M17-N17</f>
        <v>0.70197033898304539</v>
      </c>
      <c r="P17" s="36">
        <f>1036+27</f>
        <v>1063</v>
      </c>
      <c r="Q17" s="6">
        <f>SUM(Q3:Q16)</f>
        <v>100</v>
      </c>
      <c r="R17" s="29">
        <f t="shared" si="3"/>
        <v>0</v>
      </c>
      <c r="S17" s="31">
        <v>8</v>
      </c>
      <c r="T17" s="32" t="s">
        <v>70</v>
      </c>
      <c r="U17" s="61">
        <f>(U14*U16)/(U12-U11)</f>
        <v>17.425681622789501</v>
      </c>
      <c r="V17" s="38" t="s">
        <v>71</v>
      </c>
      <c r="W17" s="50">
        <v>34</v>
      </c>
      <c r="X17"/>
      <c r="Y17" s="50">
        <v>34</v>
      </c>
      <c r="Z17"/>
      <c r="AA17" s="50">
        <v>34</v>
      </c>
      <c r="AB17" s="18"/>
      <c r="AC17" s="18"/>
      <c r="AD17" s="18"/>
      <c r="AE17" s="18"/>
      <c r="AF17" s="18"/>
      <c r="AG17" s="18"/>
    </row>
    <row r="18" spans="1:33" ht="14.4" x14ac:dyDescent="0.3">
      <c r="A18" s="62"/>
      <c r="B18" s="63">
        <f>+H17-B17</f>
        <v>-106.90599999999995</v>
      </c>
      <c r="C18" s="8"/>
      <c r="D18" s="6"/>
      <c r="E18" s="26"/>
      <c r="F18" s="27"/>
      <c r="G18" s="27"/>
      <c r="H18" s="26"/>
      <c r="I18" s="27"/>
      <c r="J18" s="28" t="s">
        <v>72</v>
      </c>
      <c r="K18" s="64">
        <f>P2/M3</f>
        <v>1.2520652939775659E-2</v>
      </c>
      <c r="L18" s="6"/>
      <c r="M18" s="30"/>
      <c r="N18" s="60"/>
      <c r="O18" s="27"/>
      <c r="P18" s="36">
        <f>+P17-P19</f>
        <v>457.24099999999999</v>
      </c>
      <c r="Q18" s="6"/>
      <c r="R18" s="29"/>
      <c r="S18" s="31"/>
      <c r="T18" s="32"/>
      <c r="U18" s="61"/>
      <c r="V18" s="38"/>
      <c r="W18" s="50"/>
      <c r="X18"/>
      <c r="Y18" s="50"/>
      <c r="Z18"/>
      <c r="AA18" s="50"/>
      <c r="AB18" s="18"/>
      <c r="AC18" s="18"/>
      <c r="AD18" s="18"/>
      <c r="AE18" s="18"/>
      <c r="AF18" s="18"/>
      <c r="AG18" s="18"/>
    </row>
    <row r="19" spans="1:33" ht="23.4" x14ac:dyDescent="0.45">
      <c r="A19" s="6">
        <f>B3+B4+B5+B13</f>
        <v>919</v>
      </c>
      <c r="B19" s="6">
        <f>B12+B14+B16</f>
        <v>620</v>
      </c>
      <c r="C19" s="8"/>
      <c r="D19" s="6" t="s">
        <v>73</v>
      </c>
      <c r="E19" s="27">
        <v>0</v>
      </c>
      <c r="F19" s="27">
        <v>0</v>
      </c>
      <c r="G19" s="27">
        <f>+E19+F19</f>
        <v>0</v>
      </c>
      <c r="H19" s="27">
        <f>G19-I19</f>
        <v>0</v>
      </c>
      <c r="I19" s="27">
        <f>F19</f>
        <v>0</v>
      </c>
      <c r="J19" s="65"/>
      <c r="K19" s="29"/>
      <c r="L19" s="6" t="s">
        <v>74</v>
      </c>
      <c r="M19" s="25" t="s">
        <v>75</v>
      </c>
      <c r="N19" s="66">
        <f>H3+H4+H5+H13+H10</f>
        <v>887.46</v>
      </c>
      <c r="O19" s="65" t="s">
        <v>76</v>
      </c>
      <c r="P19" s="67">
        <f>H12+H14+H16</f>
        <v>605.75900000000001</v>
      </c>
      <c r="Q19" s="27">
        <f>+P19+N19</f>
        <v>1493.2190000000001</v>
      </c>
      <c r="R19" s="68"/>
      <c r="S19" s="31">
        <v>9</v>
      </c>
      <c r="T19" s="32" t="s">
        <v>71</v>
      </c>
      <c r="U19" s="24">
        <v>34</v>
      </c>
      <c r="V19" s="38" t="s">
        <v>77</v>
      </c>
      <c r="W19" s="69">
        <f>W17*60/W16</f>
        <v>139.94048904968676</v>
      </c>
      <c r="X19"/>
      <c r="Y19" s="69">
        <f>Y17*60/Y16</f>
        <v>128.79882503017407</v>
      </c>
      <c r="Z19"/>
      <c r="AA19" s="69">
        <f>AA17*60/AA16</f>
        <v>119.87480138668207</v>
      </c>
      <c r="AB19" s="18"/>
      <c r="AC19" s="18"/>
      <c r="AD19" s="18"/>
      <c r="AE19" s="18"/>
      <c r="AF19" s="18"/>
      <c r="AG19" s="18"/>
    </row>
    <row r="20" spans="1:33" ht="14.4" x14ac:dyDescent="0.3">
      <c r="A20" s="63">
        <f>A19-N19</f>
        <v>31.539999999999964</v>
      </c>
      <c r="B20" s="70">
        <f>B19-P19</f>
        <v>14.240999999999985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31">
        <v>10</v>
      </c>
      <c r="T20" s="32" t="s">
        <v>77</v>
      </c>
      <c r="U20" s="71">
        <f>U19*60/U17</f>
        <v>117.0685912987223</v>
      </c>
      <c r="V20" s="57" t="s">
        <v>78</v>
      </c>
      <c r="W20" s="72">
        <v>5</v>
      </c>
      <c r="X20"/>
      <c r="Y20" s="72">
        <v>12</v>
      </c>
      <c r="Z20"/>
      <c r="AA20" s="72">
        <v>15</v>
      </c>
      <c r="AB20" s="18"/>
      <c r="AC20" s="18"/>
      <c r="AD20" s="18"/>
      <c r="AE20" s="18"/>
      <c r="AF20" s="18"/>
      <c r="AG20" s="18"/>
    </row>
    <row r="21" spans="1:33" ht="42" x14ac:dyDescent="0.3">
      <c r="A21" s="73"/>
      <c r="B21" s="74"/>
      <c r="C21" s="74"/>
      <c r="H21" s="2"/>
      <c r="S21" s="8">
        <v>11</v>
      </c>
      <c r="T21" s="32" t="s">
        <v>78</v>
      </c>
      <c r="U21" s="75">
        <v>6</v>
      </c>
      <c r="V21" s="57" t="s">
        <v>79</v>
      </c>
      <c r="W21" s="72">
        <f>W20+W19</f>
        <v>144.94048904968676</v>
      </c>
      <c r="X21"/>
      <c r="Y21" s="72">
        <f>Y20+Y19</f>
        <v>140.79882503017407</v>
      </c>
      <c r="Z21"/>
      <c r="AA21" s="72">
        <f>AA20+AA19</f>
        <v>134.87480138668207</v>
      </c>
      <c r="AB21" s="18"/>
      <c r="AC21" s="18"/>
      <c r="AD21" s="18"/>
      <c r="AE21" s="18"/>
      <c r="AF21" s="18"/>
      <c r="AG21" s="18"/>
    </row>
    <row r="22" spans="1:33" s="82" customFormat="1" ht="14.4" x14ac:dyDescent="0.3">
      <c r="A22" s="76"/>
      <c r="B22" s="77">
        <f>A12+A16</f>
        <v>-7.2889999999999784</v>
      </c>
      <c r="C22" s="78"/>
      <c r="D22" s="2"/>
      <c r="E22" s="79">
        <f>H12+H14+H16</f>
        <v>605.75900000000001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6">
        <v>12</v>
      </c>
      <c r="T22" s="32" t="s">
        <v>79</v>
      </c>
      <c r="U22" s="71">
        <f>U21+U20</f>
        <v>123.0685912987223</v>
      </c>
      <c r="V22" s="38" t="s">
        <v>80</v>
      </c>
      <c r="W22" s="80">
        <f>24*60/W21</f>
        <v>9.9351120548955549</v>
      </c>
      <c r="X22"/>
      <c r="Y22" s="80">
        <f>24*60/Y21</f>
        <v>10.227358074127388</v>
      </c>
      <c r="Z22"/>
      <c r="AA22" s="80">
        <f>24*60/AA21</f>
        <v>10.676568085327983</v>
      </c>
      <c r="AB22" s="81"/>
      <c r="AC22" s="81"/>
      <c r="AD22" s="81"/>
      <c r="AE22" s="81"/>
      <c r="AF22" s="81"/>
      <c r="AG22" s="81"/>
    </row>
    <row r="23" spans="1:33" ht="14.4" x14ac:dyDescent="0.3">
      <c r="A23" s="83"/>
      <c r="B23" s="84"/>
      <c r="C23" s="84"/>
      <c r="E23" s="2">
        <f>B12+B14+B16</f>
        <v>620</v>
      </c>
      <c r="H23" s="2"/>
      <c r="S23" s="6">
        <v>13</v>
      </c>
      <c r="T23" s="32" t="s">
        <v>80</v>
      </c>
      <c r="U23" s="85">
        <f>24*60/U22</f>
        <v>11.70079209328652</v>
      </c>
      <c r="V23" s="57" t="s">
        <v>81</v>
      </c>
      <c r="W23" s="86">
        <f>W22*W17</f>
        <v>337.7938098664489</v>
      </c>
      <c r="X23"/>
      <c r="Y23" s="86">
        <f>Y22*Y17</f>
        <v>347.73017452033116</v>
      </c>
      <c r="Z23"/>
      <c r="AA23" s="86">
        <f>AA22*AA17</f>
        <v>363.00331490115138</v>
      </c>
      <c r="AB23" s="18"/>
      <c r="AC23" s="18"/>
      <c r="AD23" s="18"/>
      <c r="AE23" s="18"/>
      <c r="AF23" s="18"/>
      <c r="AG23" s="18"/>
    </row>
    <row r="24" spans="1:33" ht="15" thickBot="1" x14ac:dyDescent="0.35">
      <c r="A24" s="73"/>
      <c r="B24" s="74"/>
      <c r="C24" s="87"/>
      <c r="E24" s="79">
        <f>E23-E22</f>
        <v>14.240999999999985</v>
      </c>
      <c r="H24" s="2"/>
      <c r="S24" s="6">
        <v>14</v>
      </c>
      <c r="T24" s="88" t="s">
        <v>81</v>
      </c>
      <c r="U24" s="89">
        <f>U23*U19</f>
        <v>397.82693117174165</v>
      </c>
      <c r="V24" s="57" t="s">
        <v>82</v>
      </c>
      <c r="W24" s="3">
        <v>65</v>
      </c>
      <c r="X24"/>
      <c r="Y24" s="90">
        <f>+W23*W24/Y23</f>
        <v>63.14262968868529</v>
      </c>
      <c r="Z24" s="91"/>
      <c r="AA24" s="90">
        <f>+Y23*Y24/AA23</f>
        <v>60.485942524514222</v>
      </c>
      <c r="AB24" s="18"/>
      <c r="AC24" s="18"/>
      <c r="AD24" s="18"/>
      <c r="AE24" s="18"/>
      <c r="AF24" s="18"/>
      <c r="AG24" s="18"/>
    </row>
    <row r="25" spans="1:33" ht="13.8" x14ac:dyDescent="0.3">
      <c r="A25" s="83"/>
      <c r="B25" s="92"/>
      <c r="C25" s="87"/>
      <c r="H25" s="2"/>
      <c r="S25" s="18"/>
      <c r="T25" s="93"/>
      <c r="U25" s="94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1:33" ht="13.8" x14ac:dyDescent="0.3">
      <c r="A26" s="83"/>
      <c r="B26" s="95"/>
      <c r="C26" s="87"/>
      <c r="H26" s="2"/>
      <c r="S26" s="18"/>
      <c r="T26" s="81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 x14ac:dyDescent="0.2">
      <c r="C27" s="81"/>
      <c r="S27" s="18"/>
      <c r="T27" s="81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 x14ac:dyDescent="0.2">
      <c r="C28" s="81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</sheetData>
  <mergeCells count="3">
    <mergeCell ref="A1:N1"/>
    <mergeCell ref="T1:U1"/>
    <mergeCell ref="C20:R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AF26-2BA7-4F52-97D1-15073192C1E0}">
  <dimension ref="A1:AG28"/>
  <sheetViews>
    <sheetView topLeftCell="E1" zoomScale="160" zoomScaleNormal="160" workbookViewId="0">
      <selection activeCell="M19" sqref="M19"/>
    </sheetView>
  </sheetViews>
  <sheetFormatPr defaultColWidth="9.109375" defaultRowHeight="10.199999999999999" x14ac:dyDescent="0.2"/>
  <cols>
    <col min="1" max="1" width="14.109375" style="2" bestFit="1" customWidth="1"/>
    <col min="2" max="2" width="7.88671875" style="2" bestFit="1" customWidth="1"/>
    <col min="3" max="3" width="8.44140625" style="82" bestFit="1" customWidth="1"/>
    <col min="4" max="4" width="17.5546875" style="2" bestFit="1" customWidth="1"/>
    <col min="5" max="5" width="10.88671875" style="2" bestFit="1" customWidth="1"/>
    <col min="6" max="6" width="7.33203125" style="2" bestFit="1" customWidth="1"/>
    <col min="7" max="7" width="9.109375" style="2"/>
    <col min="8" max="8" width="10" style="82" customWidth="1"/>
    <col min="9" max="9" width="9.5546875" style="2" bestFit="1" customWidth="1"/>
    <col min="10" max="10" width="10.44140625" style="2" bestFit="1" customWidth="1"/>
    <col min="11" max="11" width="12" style="2" customWidth="1"/>
    <col min="12" max="12" width="10.109375" style="2" bestFit="1" customWidth="1"/>
    <col min="13" max="13" width="10.5546875" style="2" bestFit="1" customWidth="1"/>
    <col min="14" max="14" width="15" style="2" customWidth="1"/>
    <col min="15" max="15" width="12.109375" style="2" customWidth="1"/>
    <col min="16" max="16" width="15.33203125" style="2" customWidth="1"/>
    <col min="17" max="17" width="7.44140625" style="2" bestFit="1" customWidth="1"/>
    <col min="18" max="18" width="7.6640625" style="2" customWidth="1"/>
    <col min="19" max="19" width="5.33203125" style="2" bestFit="1" customWidth="1"/>
    <col min="20" max="20" width="27.5546875" style="82" customWidth="1"/>
    <col min="21" max="21" width="11.44140625" style="2" bestFit="1" customWidth="1"/>
    <col min="22" max="22" width="30.88671875" style="2" customWidth="1"/>
    <col min="23" max="23" width="11.44140625" style="2" bestFit="1" customWidth="1"/>
    <col min="24" max="24" width="6.109375" style="2" bestFit="1" customWidth="1"/>
    <col min="25" max="25" width="11.44140625" style="2" bestFit="1" customWidth="1"/>
    <col min="26" max="26" width="5.44140625" style="2" bestFit="1" customWidth="1"/>
    <col min="27" max="27" width="11.44140625" style="2" bestFit="1" customWidth="1"/>
    <col min="28" max="28" width="6.6640625" style="2" bestFit="1" customWidth="1"/>
    <col min="29" max="29" width="5.5546875" style="2" bestFit="1" customWidth="1"/>
    <col min="30" max="30" width="7" style="2" bestFit="1" customWidth="1"/>
    <col min="31" max="31" width="4.44140625" style="2" bestFit="1" customWidth="1"/>
    <col min="32" max="16384" width="9.109375" style="2"/>
  </cols>
  <sheetData>
    <row r="1" spans="1:33" ht="15" thickBot="1" x14ac:dyDescent="0.35">
      <c r="A1" s="96" t="s">
        <v>86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1" t="s">
        <v>0</v>
      </c>
      <c r="P1" s="1" t="s">
        <v>1</v>
      </c>
      <c r="Q1" s="1"/>
      <c r="R1" s="1"/>
      <c r="T1" s="97" t="s">
        <v>2</v>
      </c>
      <c r="U1" s="98"/>
      <c r="V1" s="3" t="s">
        <v>3</v>
      </c>
      <c r="W1" s="4">
        <v>0.5</v>
      </c>
      <c r="X1"/>
      <c r="Y1" s="5">
        <v>0.4</v>
      </c>
      <c r="Z1"/>
      <c r="AA1" s="5">
        <v>0.3</v>
      </c>
    </row>
    <row r="2" spans="1:33" ht="14.4" x14ac:dyDescent="0.3">
      <c r="A2" s="6" t="s">
        <v>4</v>
      </c>
      <c r="B2" s="7" t="s">
        <v>5</v>
      </c>
      <c r="C2" s="8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8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9" t="s">
        <v>17</v>
      </c>
      <c r="O2" s="10">
        <v>407.29599999999999</v>
      </c>
      <c r="P2" s="11">
        <v>6.64</v>
      </c>
      <c r="Q2" s="6" t="s">
        <v>18</v>
      </c>
      <c r="R2" s="6" t="s">
        <v>19</v>
      </c>
      <c r="S2" s="12" t="s">
        <v>20</v>
      </c>
      <c r="T2" s="13" t="s">
        <v>21</v>
      </c>
      <c r="U2" s="14" t="s">
        <v>22</v>
      </c>
      <c r="V2" s="15" t="s">
        <v>21</v>
      </c>
      <c r="W2" s="16" t="s">
        <v>22</v>
      </c>
      <c r="X2"/>
      <c r="Y2" s="17" t="s">
        <v>22</v>
      </c>
      <c r="Z2"/>
      <c r="AA2" s="17" t="s">
        <v>22</v>
      </c>
      <c r="AB2" s="18"/>
      <c r="AC2" s="18"/>
      <c r="AD2" s="19"/>
      <c r="AE2" s="20"/>
      <c r="AF2" s="21"/>
      <c r="AG2" s="22"/>
    </row>
    <row r="3" spans="1:33" ht="14.4" x14ac:dyDescent="0.3">
      <c r="A3" s="23">
        <f>+B3-H3</f>
        <v>22.050000000000011</v>
      </c>
      <c r="B3" s="24">
        <v>437</v>
      </c>
      <c r="C3" s="25">
        <v>1</v>
      </c>
      <c r="D3" s="6" t="s">
        <v>23</v>
      </c>
      <c r="E3" s="26">
        <v>482.95</v>
      </c>
      <c r="F3" s="26">
        <v>0</v>
      </c>
      <c r="G3" s="27">
        <f>E3+F3</f>
        <v>482.95</v>
      </c>
      <c r="H3" s="26">
        <f>G3-I3</f>
        <v>414.95</v>
      </c>
      <c r="I3" s="27">
        <v>68</v>
      </c>
      <c r="J3" s="28">
        <f>I3/I17*100</f>
        <v>14.345991561181433</v>
      </c>
      <c r="K3" s="29">
        <f>+J3*L3%</f>
        <v>11.52987341772152</v>
      </c>
      <c r="L3" s="30">
        <v>80.37</v>
      </c>
      <c r="M3" s="27">
        <v>407.327</v>
      </c>
      <c r="N3" s="28">
        <f>U24</f>
        <v>392.8475437780412</v>
      </c>
      <c r="O3" s="30" t="s">
        <v>24</v>
      </c>
      <c r="P3" s="27" t="s">
        <v>25</v>
      </c>
      <c r="Q3" s="6">
        <v>16</v>
      </c>
      <c r="R3" s="29">
        <f>Q3-J3</f>
        <v>1.6540084388185665</v>
      </c>
      <c r="S3" s="31"/>
      <c r="T3" s="32" t="s">
        <v>26</v>
      </c>
      <c r="U3" s="24">
        <v>30</v>
      </c>
      <c r="V3" s="33" t="s">
        <v>26</v>
      </c>
      <c r="W3" s="34">
        <v>30</v>
      </c>
      <c r="X3"/>
      <c r="Y3" s="34">
        <v>30</v>
      </c>
      <c r="Z3"/>
      <c r="AA3" s="34">
        <v>30</v>
      </c>
      <c r="AB3" s="18"/>
      <c r="AC3" s="18"/>
      <c r="AD3" s="18"/>
      <c r="AE3" s="35"/>
      <c r="AF3" s="18"/>
      <c r="AG3" s="18"/>
    </row>
    <row r="4" spans="1:33" ht="14.4" x14ac:dyDescent="0.3">
      <c r="A4" s="23">
        <f t="shared" ref="A4:A15" si="0">+B4-H4</f>
        <v>-3.0699999999999932</v>
      </c>
      <c r="B4" s="24">
        <v>266</v>
      </c>
      <c r="C4" s="25">
        <v>2</v>
      </c>
      <c r="D4" s="6" t="s">
        <v>27</v>
      </c>
      <c r="E4" s="26">
        <v>226.93</v>
      </c>
      <c r="F4" s="26">
        <v>92.14</v>
      </c>
      <c r="G4" s="27">
        <f>E4+F4</f>
        <v>319.07</v>
      </c>
      <c r="H4" s="26">
        <f t="shared" ref="H4:H16" si="1">G4-I4</f>
        <v>269.07</v>
      </c>
      <c r="I4" s="27">
        <v>50</v>
      </c>
      <c r="J4" s="28">
        <f>I4/I17*100</f>
        <v>10.548523206751055</v>
      </c>
      <c r="K4" s="29">
        <f t="shared" ref="K4:K13" si="2">+J4*L4%</f>
        <v>7.8871308016877633</v>
      </c>
      <c r="L4" s="30">
        <v>74.77</v>
      </c>
      <c r="M4" s="6" t="s">
        <v>28</v>
      </c>
      <c r="N4" s="6" t="s">
        <v>29</v>
      </c>
      <c r="O4" s="36">
        <v>266489</v>
      </c>
      <c r="P4" s="36">
        <v>23980</v>
      </c>
      <c r="Q4" s="6">
        <v>13</v>
      </c>
      <c r="R4" s="29">
        <f t="shared" ref="R4:R17" si="3">Q4-J4</f>
        <v>2.4514767932489452</v>
      </c>
      <c r="S4" s="31">
        <v>1</v>
      </c>
      <c r="T4" s="32" t="s">
        <v>30</v>
      </c>
      <c r="U4" s="37">
        <f>M17</f>
        <v>85.927426160337546</v>
      </c>
      <c r="V4" s="38" t="s">
        <v>30</v>
      </c>
      <c r="W4" s="39">
        <v>86.44</v>
      </c>
      <c r="X4"/>
      <c r="Y4" s="39">
        <f>U4</f>
        <v>85.927426160337546</v>
      </c>
      <c r="Z4"/>
      <c r="AA4" s="39">
        <v>84.28</v>
      </c>
      <c r="AB4" s="18"/>
      <c r="AC4" s="18"/>
      <c r="AD4" s="18"/>
      <c r="AE4" s="18"/>
      <c r="AF4" s="18"/>
      <c r="AG4" s="18"/>
    </row>
    <row r="5" spans="1:33" ht="14.4" x14ac:dyDescent="0.3">
      <c r="A5" s="23">
        <f t="shared" si="0"/>
        <v>20.97</v>
      </c>
      <c r="B5" s="24">
        <v>118</v>
      </c>
      <c r="C5" s="25">
        <v>3</v>
      </c>
      <c r="D5" s="6" t="s">
        <v>31</v>
      </c>
      <c r="E5" s="26">
        <v>158.82</v>
      </c>
      <c r="F5" s="26">
        <v>58.21</v>
      </c>
      <c r="G5" s="27">
        <f>E5+F5</f>
        <v>217.03</v>
      </c>
      <c r="H5" s="26">
        <f t="shared" si="1"/>
        <v>97.03</v>
      </c>
      <c r="I5" s="27">
        <v>120</v>
      </c>
      <c r="J5" s="28">
        <f>I5/I17*100</f>
        <v>25.316455696202532</v>
      </c>
      <c r="K5" s="29">
        <f t="shared" si="2"/>
        <v>19.979746835443038</v>
      </c>
      <c r="L5" s="30">
        <v>78.92</v>
      </c>
      <c r="M5" s="36">
        <f>O4/O2</f>
        <v>654.28828174104342</v>
      </c>
      <c r="N5" s="36">
        <f>+U12</f>
        <v>663.89821271816413</v>
      </c>
      <c r="O5" s="36">
        <f>+N5-M5</f>
        <v>9.6099309771207118</v>
      </c>
      <c r="P5" s="36">
        <f>+P4/O2</f>
        <v>58.876099937146449</v>
      </c>
      <c r="Q5" s="6">
        <v>18</v>
      </c>
      <c r="R5" s="29">
        <f t="shared" si="3"/>
        <v>-7.3164556962025316</v>
      </c>
      <c r="S5" s="31"/>
      <c r="T5" s="32" t="s">
        <v>32</v>
      </c>
      <c r="U5" s="40" t="s">
        <v>33</v>
      </c>
      <c r="V5" s="38" t="s">
        <v>32</v>
      </c>
      <c r="W5" s="41" t="s">
        <v>33</v>
      </c>
      <c r="X5"/>
      <c r="Y5" s="41" t="s">
        <v>33</v>
      </c>
      <c r="Z5"/>
      <c r="AA5" s="41" t="s">
        <v>33</v>
      </c>
      <c r="AB5" s="18"/>
      <c r="AC5" s="18"/>
      <c r="AD5" s="42"/>
      <c r="AE5" s="18"/>
      <c r="AF5" s="18"/>
      <c r="AG5" s="18"/>
    </row>
    <row r="6" spans="1:33" ht="14.4" x14ac:dyDescent="0.3">
      <c r="A6" s="23">
        <f t="shared" si="0"/>
        <v>36.449999999999989</v>
      </c>
      <c r="B6" s="24">
        <v>351</v>
      </c>
      <c r="C6" s="25">
        <v>4</v>
      </c>
      <c r="D6" s="6" t="s">
        <v>34</v>
      </c>
      <c r="E6" s="26">
        <v>314.55</v>
      </c>
      <c r="F6" s="26">
        <v>0</v>
      </c>
      <c r="G6" s="27">
        <f t="shared" ref="G6:G16" si="4">E6+F6</f>
        <v>314.55</v>
      </c>
      <c r="H6" s="26">
        <f>G6-I6</f>
        <v>314.55</v>
      </c>
      <c r="I6" s="27">
        <v>0</v>
      </c>
      <c r="J6" s="28">
        <f>I6/I17*100</f>
        <v>0</v>
      </c>
      <c r="K6" s="29">
        <f t="shared" si="2"/>
        <v>0</v>
      </c>
      <c r="L6" s="6">
        <v>94</v>
      </c>
      <c r="M6" s="6" t="s">
        <v>35</v>
      </c>
      <c r="N6" s="6"/>
      <c r="O6" s="6" t="s">
        <v>36</v>
      </c>
      <c r="P6" s="6">
        <v>3155</v>
      </c>
      <c r="Q6" s="6">
        <v>0</v>
      </c>
      <c r="R6" s="29">
        <f t="shared" si="3"/>
        <v>0</v>
      </c>
      <c r="S6" s="31"/>
      <c r="T6" s="32" t="s">
        <v>37</v>
      </c>
      <c r="U6" s="40" t="s">
        <v>38</v>
      </c>
      <c r="V6" s="38" t="s">
        <v>37</v>
      </c>
      <c r="W6" s="41" t="s">
        <v>39</v>
      </c>
      <c r="X6"/>
      <c r="Y6" s="41" t="s">
        <v>39</v>
      </c>
      <c r="Z6"/>
      <c r="AA6" s="41" t="s">
        <v>39</v>
      </c>
      <c r="AB6" s="43"/>
      <c r="AC6" s="44"/>
      <c r="AD6" s="44"/>
      <c r="AE6" s="44"/>
      <c r="AF6" s="18"/>
      <c r="AG6" s="18"/>
    </row>
    <row r="7" spans="1:33" ht="14.4" x14ac:dyDescent="0.3">
      <c r="A7" s="23">
        <v>0</v>
      </c>
      <c r="B7" s="24">
        <v>0</v>
      </c>
      <c r="C7" s="25">
        <v>5</v>
      </c>
      <c r="D7" s="6" t="s">
        <v>40</v>
      </c>
      <c r="E7" s="26">
        <v>0</v>
      </c>
      <c r="F7" s="26">
        <v>0</v>
      </c>
      <c r="G7" s="27">
        <f t="shared" si="4"/>
        <v>0</v>
      </c>
      <c r="H7" s="26">
        <f t="shared" si="1"/>
        <v>0</v>
      </c>
      <c r="I7" s="27">
        <v>0</v>
      </c>
      <c r="J7" s="28">
        <f>I7/I17*100</f>
        <v>0</v>
      </c>
      <c r="K7" s="29">
        <f t="shared" si="2"/>
        <v>0</v>
      </c>
      <c r="L7" s="6">
        <v>88</v>
      </c>
      <c r="M7" s="36">
        <f>+P5+P8</f>
        <v>66.622309082338148</v>
      </c>
      <c r="N7" s="36">
        <v>67</v>
      </c>
      <c r="O7" s="36">
        <f>+N7-M7</f>
        <v>0.3776909176618517</v>
      </c>
      <c r="P7" s="36"/>
      <c r="Q7" s="6">
        <v>0</v>
      </c>
      <c r="R7" s="29">
        <f t="shared" si="3"/>
        <v>0</v>
      </c>
      <c r="S7" s="31">
        <v>2</v>
      </c>
      <c r="T7" s="32" t="s">
        <v>41</v>
      </c>
      <c r="U7" s="40">
        <v>455</v>
      </c>
      <c r="V7" s="38" t="s">
        <v>41</v>
      </c>
      <c r="W7" s="41">
        <v>465</v>
      </c>
      <c r="X7"/>
      <c r="Y7" s="41">
        <v>455</v>
      </c>
      <c r="Z7"/>
      <c r="AA7" s="41">
        <v>455</v>
      </c>
      <c r="AB7" s="18"/>
      <c r="AC7" s="18"/>
      <c r="AD7" s="42"/>
      <c r="AE7" s="18"/>
      <c r="AF7" s="18"/>
      <c r="AG7" s="18"/>
    </row>
    <row r="8" spans="1:33" ht="14.4" x14ac:dyDescent="0.3">
      <c r="A8" s="23">
        <f t="shared" si="0"/>
        <v>19.675000000000001</v>
      </c>
      <c r="B8" s="24">
        <v>51</v>
      </c>
      <c r="C8" s="25">
        <v>6</v>
      </c>
      <c r="D8" s="6" t="s">
        <v>42</v>
      </c>
      <c r="E8" s="26">
        <v>27.324999999999999</v>
      </c>
      <c r="F8" s="26">
        <v>4</v>
      </c>
      <c r="G8" s="27">
        <f t="shared" si="4"/>
        <v>31.324999999999999</v>
      </c>
      <c r="H8" s="26">
        <f t="shared" si="1"/>
        <v>31.324999999999999</v>
      </c>
      <c r="I8" s="27">
        <v>0</v>
      </c>
      <c r="J8" s="28">
        <f>I8/I17*100</f>
        <v>0</v>
      </c>
      <c r="K8" s="29">
        <f t="shared" si="2"/>
        <v>0</v>
      </c>
      <c r="L8" s="6">
        <v>90</v>
      </c>
      <c r="M8" s="30" t="s">
        <v>43</v>
      </c>
      <c r="N8" s="30" t="s">
        <v>44</v>
      </c>
      <c r="O8" s="6" t="s">
        <v>45</v>
      </c>
      <c r="P8" s="36">
        <f>+P6/O2</f>
        <v>7.7462091451917034</v>
      </c>
      <c r="Q8" s="6">
        <v>0</v>
      </c>
      <c r="R8" s="29">
        <f t="shared" si="3"/>
        <v>0</v>
      </c>
      <c r="S8" s="31"/>
      <c r="T8" s="32"/>
      <c r="U8" s="40"/>
      <c r="V8" s="38" t="s">
        <v>46</v>
      </c>
      <c r="W8" s="45">
        <f>((W7*(2-W4/100))/(W4/100))</f>
        <v>610.89079130032405</v>
      </c>
      <c r="X8"/>
      <c r="Y8" s="45">
        <f>((Y7*(2-Y4/100))/(Y4/100))</f>
        <v>604.03323381521056</v>
      </c>
      <c r="Z8"/>
      <c r="AA8" s="45">
        <f>((AA7*(2-AA4/100))/(AA4/100))</f>
        <v>624.73421926910294</v>
      </c>
      <c r="AB8" s="18"/>
      <c r="AC8" s="18"/>
      <c r="AD8" s="42"/>
      <c r="AE8" s="18"/>
      <c r="AF8" s="18"/>
      <c r="AG8" s="18"/>
    </row>
    <row r="9" spans="1:33" ht="14.4" x14ac:dyDescent="0.3">
      <c r="A9" s="23">
        <f t="shared" si="0"/>
        <v>0</v>
      </c>
      <c r="B9" s="24">
        <v>0</v>
      </c>
      <c r="C9" s="25">
        <v>7</v>
      </c>
      <c r="D9" s="6" t="s">
        <v>47</v>
      </c>
      <c r="E9" s="26">
        <v>0</v>
      </c>
      <c r="F9" s="26">
        <v>0</v>
      </c>
      <c r="G9" s="46">
        <f t="shared" si="4"/>
        <v>0</v>
      </c>
      <c r="H9" s="26">
        <f t="shared" si="1"/>
        <v>0</v>
      </c>
      <c r="I9" s="27">
        <v>0</v>
      </c>
      <c r="J9" s="28">
        <f>I9/I17*100</f>
        <v>0</v>
      </c>
      <c r="K9" s="29">
        <f t="shared" si="2"/>
        <v>0</v>
      </c>
      <c r="L9" s="6">
        <v>93</v>
      </c>
      <c r="M9" s="36">
        <f>+M5+M7</f>
        <v>720.91059082338154</v>
      </c>
      <c r="N9" s="36">
        <f>+N5+N7</f>
        <v>730.89821271816413</v>
      </c>
      <c r="O9" s="36">
        <f>+N9-M9</f>
        <v>9.9876218947825919</v>
      </c>
      <c r="P9" s="36"/>
      <c r="Q9" s="6">
        <v>0</v>
      </c>
      <c r="R9" s="29">
        <f t="shared" si="3"/>
        <v>0</v>
      </c>
      <c r="S9" s="31" t="s">
        <v>48</v>
      </c>
      <c r="T9" s="32" t="s">
        <v>46</v>
      </c>
      <c r="U9" s="47">
        <f>((U7*(2-U4/100))/(U4/100))</f>
        <v>604.03323381521056</v>
      </c>
      <c r="V9" s="38" t="s">
        <v>49</v>
      </c>
      <c r="W9" s="45">
        <v>24</v>
      </c>
      <c r="X9"/>
      <c r="Y9" s="45">
        <v>24</v>
      </c>
      <c r="Z9"/>
      <c r="AA9" s="45">
        <v>24</v>
      </c>
      <c r="AB9" s="18"/>
      <c r="AC9" s="18"/>
      <c r="AD9" s="42"/>
      <c r="AE9" s="18"/>
      <c r="AF9" s="18"/>
      <c r="AG9" s="18"/>
    </row>
    <row r="10" spans="1:33" ht="14.4" x14ac:dyDescent="0.3">
      <c r="A10" s="23">
        <f t="shared" si="0"/>
        <v>0</v>
      </c>
      <c r="B10" s="24">
        <v>0</v>
      </c>
      <c r="C10" s="25">
        <v>8</v>
      </c>
      <c r="D10" s="6" t="s">
        <v>50</v>
      </c>
      <c r="E10" s="26">
        <v>0</v>
      </c>
      <c r="F10" s="26">
        <v>0</v>
      </c>
      <c r="G10" s="27">
        <f t="shared" si="4"/>
        <v>0</v>
      </c>
      <c r="H10" s="26">
        <f t="shared" si="1"/>
        <v>0</v>
      </c>
      <c r="I10" s="27">
        <v>0</v>
      </c>
      <c r="J10" s="28">
        <f>I10/I17*100</f>
        <v>0</v>
      </c>
      <c r="K10" s="29">
        <f t="shared" si="2"/>
        <v>0</v>
      </c>
      <c r="L10" s="6">
        <v>70</v>
      </c>
      <c r="M10" s="6"/>
      <c r="N10" s="6"/>
      <c r="O10" s="6"/>
      <c r="P10" s="6"/>
      <c r="Q10" s="6">
        <v>0</v>
      </c>
      <c r="R10" s="29">
        <f t="shared" si="3"/>
        <v>0</v>
      </c>
      <c r="S10" s="31" t="s">
        <v>51</v>
      </c>
      <c r="T10" s="32" t="s">
        <v>49</v>
      </c>
      <c r="U10" s="47">
        <v>24</v>
      </c>
      <c r="V10" s="38" t="s">
        <v>52</v>
      </c>
      <c r="W10" s="45">
        <v>20</v>
      </c>
      <c r="X10"/>
      <c r="Y10" s="45">
        <f>U11</f>
        <v>35.864978902953588</v>
      </c>
      <c r="Z10"/>
      <c r="AA10" s="45">
        <v>25</v>
      </c>
      <c r="AB10" s="18"/>
      <c r="AC10" s="18"/>
      <c r="AD10" s="42"/>
      <c r="AE10" s="18"/>
      <c r="AF10" s="18"/>
      <c r="AG10" s="18"/>
    </row>
    <row r="11" spans="1:33" ht="14.4" x14ac:dyDescent="0.3">
      <c r="A11" s="23">
        <f t="shared" si="0"/>
        <v>5</v>
      </c>
      <c r="B11" s="24">
        <v>5</v>
      </c>
      <c r="C11" s="25">
        <v>9</v>
      </c>
      <c r="D11" s="6" t="s">
        <v>53</v>
      </c>
      <c r="E11" s="26">
        <v>0</v>
      </c>
      <c r="F11" s="26">
        <v>0</v>
      </c>
      <c r="G11" s="27">
        <f>E11+F11</f>
        <v>0</v>
      </c>
      <c r="H11" s="26">
        <f t="shared" si="1"/>
        <v>0</v>
      </c>
      <c r="I11" s="27">
        <v>0</v>
      </c>
      <c r="J11" s="28">
        <f>I11/I17*100</f>
        <v>0</v>
      </c>
      <c r="K11" s="29">
        <f t="shared" si="2"/>
        <v>0</v>
      </c>
      <c r="L11" s="6">
        <v>98</v>
      </c>
      <c r="M11" s="6"/>
      <c r="N11" s="6"/>
      <c r="O11" s="6"/>
      <c r="P11" s="6"/>
      <c r="Q11" s="6">
        <v>0</v>
      </c>
      <c r="R11" s="29">
        <f t="shared" si="3"/>
        <v>0</v>
      </c>
      <c r="S11" s="31"/>
      <c r="T11" s="32" t="s">
        <v>54</v>
      </c>
      <c r="U11" s="47">
        <f>J5+J4</f>
        <v>35.864978902953588</v>
      </c>
      <c r="V11" s="38" t="s">
        <v>55</v>
      </c>
      <c r="W11" s="45">
        <f>SUM(W8:W10)</f>
        <v>654.89079130032405</v>
      </c>
      <c r="X11"/>
      <c r="Y11" s="45">
        <f>SUM(Y8:Y10)</f>
        <v>663.89821271816413</v>
      </c>
      <c r="Z11"/>
      <c r="AA11" s="45">
        <f>SUM(AA8:AA10)</f>
        <v>673.73421926910294</v>
      </c>
      <c r="AB11" s="18"/>
      <c r="AC11" s="18"/>
      <c r="AD11" s="42"/>
      <c r="AE11" s="18"/>
      <c r="AF11" s="18"/>
      <c r="AG11" s="18"/>
    </row>
    <row r="12" spans="1:33" ht="14.4" x14ac:dyDescent="0.3">
      <c r="A12" s="48">
        <f>+B12-H12</f>
        <v>-20.138999999999896</v>
      </c>
      <c r="B12" s="24">
        <v>631</v>
      </c>
      <c r="C12" s="25">
        <v>10</v>
      </c>
      <c r="D12" s="6" t="s">
        <v>56</v>
      </c>
      <c r="E12" s="49">
        <v>571.04899999999998</v>
      </c>
      <c r="F12" s="26">
        <v>295.08999999999997</v>
      </c>
      <c r="G12" s="27">
        <f>E12+F12</f>
        <v>866.1389999999999</v>
      </c>
      <c r="H12" s="49">
        <f>G12-I12</f>
        <v>651.1389999999999</v>
      </c>
      <c r="I12" s="46">
        <v>215</v>
      </c>
      <c r="J12" s="28">
        <f>I12/I17*100</f>
        <v>45.358649789029535</v>
      </c>
      <c r="K12" s="29">
        <f t="shared" si="2"/>
        <v>42.183544303797468</v>
      </c>
      <c r="L12" s="6">
        <v>93</v>
      </c>
      <c r="M12" s="36"/>
      <c r="N12" s="6"/>
      <c r="O12" s="6"/>
      <c r="P12" s="6"/>
      <c r="Q12" s="6">
        <v>48</v>
      </c>
      <c r="R12" s="29">
        <f t="shared" si="3"/>
        <v>2.6413502109704652</v>
      </c>
      <c r="S12" s="31" t="s">
        <v>57</v>
      </c>
      <c r="T12" s="32" t="s">
        <v>55</v>
      </c>
      <c r="U12" s="47">
        <f>U9+U10+U11</f>
        <v>663.89821271816413</v>
      </c>
      <c r="V12" s="38" t="s">
        <v>58</v>
      </c>
      <c r="W12" s="50">
        <v>16</v>
      </c>
      <c r="X12"/>
      <c r="Y12" s="50">
        <v>16</v>
      </c>
      <c r="Z12"/>
      <c r="AA12" s="50">
        <v>16</v>
      </c>
      <c r="AB12" s="18"/>
      <c r="AC12" s="18"/>
      <c r="AD12" s="42"/>
      <c r="AE12" s="18"/>
      <c r="AF12" s="18"/>
      <c r="AG12" s="18"/>
    </row>
    <row r="13" spans="1:33" ht="14.4" x14ac:dyDescent="0.3">
      <c r="A13" s="23">
        <f t="shared" si="0"/>
        <v>2.2399999999999984</v>
      </c>
      <c r="B13" s="24">
        <v>15</v>
      </c>
      <c r="C13" s="25">
        <v>11</v>
      </c>
      <c r="D13" s="6" t="s">
        <v>60</v>
      </c>
      <c r="E13" s="26">
        <v>18.760000000000002</v>
      </c>
      <c r="F13" s="26">
        <v>0</v>
      </c>
      <c r="G13" s="27">
        <f>E13+F13</f>
        <v>18.760000000000002</v>
      </c>
      <c r="H13" s="26">
        <f>G13-I13</f>
        <v>12.760000000000002</v>
      </c>
      <c r="I13" s="27">
        <v>6</v>
      </c>
      <c r="J13" s="28">
        <f>I13/I17*100</f>
        <v>1.2658227848101267</v>
      </c>
      <c r="K13" s="29">
        <f t="shared" si="2"/>
        <v>0.86886075949367092</v>
      </c>
      <c r="L13" s="6">
        <v>68.64</v>
      </c>
      <c r="M13" s="24" t="s">
        <v>61</v>
      </c>
      <c r="N13" s="6">
        <v>12</v>
      </c>
      <c r="O13" s="6" t="s">
        <v>62</v>
      </c>
      <c r="P13" s="53"/>
      <c r="Q13" s="6">
        <v>2</v>
      </c>
      <c r="R13" s="29">
        <f t="shared" si="3"/>
        <v>0.73417721518987333</v>
      </c>
      <c r="S13" s="31">
        <v>5</v>
      </c>
      <c r="T13" s="32" t="s">
        <v>58</v>
      </c>
      <c r="U13" s="24">
        <v>20</v>
      </c>
      <c r="V13" s="38" t="s">
        <v>63</v>
      </c>
      <c r="W13" s="34">
        <v>10060</v>
      </c>
      <c r="X13"/>
      <c r="Y13" s="34">
        <v>10670</v>
      </c>
      <c r="Z13"/>
      <c r="AA13" s="34">
        <v>12000</v>
      </c>
      <c r="AB13" s="18"/>
      <c r="AC13" s="18"/>
      <c r="AD13" s="42"/>
      <c r="AE13" s="18"/>
      <c r="AF13" s="18"/>
      <c r="AG13" s="18"/>
    </row>
    <row r="14" spans="1:33" ht="14.4" x14ac:dyDescent="0.3">
      <c r="A14" s="23">
        <f t="shared" si="0"/>
        <v>16.980000000000004</v>
      </c>
      <c r="B14" s="24">
        <v>62</v>
      </c>
      <c r="C14" s="25">
        <v>12</v>
      </c>
      <c r="D14" s="6" t="s">
        <v>64</v>
      </c>
      <c r="E14" s="26">
        <v>33.47</v>
      </c>
      <c r="F14" s="26">
        <v>26.55</v>
      </c>
      <c r="G14" s="27">
        <f>E14+F14</f>
        <v>60.019999999999996</v>
      </c>
      <c r="H14" s="26">
        <f t="shared" si="1"/>
        <v>45.019999999999996</v>
      </c>
      <c r="I14" s="27">
        <v>15</v>
      </c>
      <c r="J14" s="28">
        <f>I14/I17*100</f>
        <v>3.1645569620253164</v>
      </c>
      <c r="K14" s="29">
        <f>+J14*L14%</f>
        <v>3.1012658227848102</v>
      </c>
      <c r="L14" s="6">
        <v>98</v>
      </c>
      <c r="M14" s="6"/>
      <c r="N14" s="6"/>
      <c r="O14" s="6"/>
      <c r="P14" s="30"/>
      <c r="Q14" s="6">
        <v>3</v>
      </c>
      <c r="R14" s="29">
        <f t="shared" si="3"/>
        <v>-0.16455696202531644</v>
      </c>
      <c r="S14" s="31">
        <v>6</v>
      </c>
      <c r="T14" s="32" t="s">
        <v>63</v>
      </c>
      <c r="U14" s="24">
        <v>12000</v>
      </c>
      <c r="V14" s="38" t="s">
        <v>65</v>
      </c>
      <c r="W14" s="54">
        <v>0.92</v>
      </c>
      <c r="X14"/>
      <c r="Y14" s="54">
        <v>0.92</v>
      </c>
      <c r="Z14"/>
      <c r="AA14" s="54">
        <v>0.92</v>
      </c>
      <c r="AB14" s="18"/>
      <c r="AC14" s="18"/>
      <c r="AD14" s="42"/>
      <c r="AE14" s="18"/>
      <c r="AF14" s="18"/>
      <c r="AG14" s="18"/>
    </row>
    <row r="15" spans="1:33" ht="14.4" x14ac:dyDescent="0.3">
      <c r="A15" s="23">
        <f t="shared" si="0"/>
        <v>0</v>
      </c>
      <c r="B15" s="24">
        <v>0</v>
      </c>
      <c r="C15" s="25">
        <v>13</v>
      </c>
      <c r="D15" s="6" t="s">
        <v>1</v>
      </c>
      <c r="E15" s="26">
        <v>0</v>
      </c>
      <c r="F15" s="26">
        <v>0</v>
      </c>
      <c r="G15" s="27">
        <f>E15+F15</f>
        <v>0</v>
      </c>
      <c r="H15" s="26">
        <f>G15-I15</f>
        <v>0</v>
      </c>
      <c r="I15" s="27">
        <v>0</v>
      </c>
      <c r="J15" s="28">
        <f>I15/I17*100</f>
        <v>0</v>
      </c>
      <c r="K15" s="29">
        <f>J15*L15</f>
        <v>0</v>
      </c>
      <c r="L15" s="55">
        <v>0.98</v>
      </c>
      <c r="M15" s="6"/>
      <c r="N15" s="6"/>
      <c r="O15" s="6"/>
      <c r="P15" s="30"/>
      <c r="Q15" s="6"/>
      <c r="R15" s="29"/>
      <c r="S15" s="31"/>
      <c r="T15" s="32"/>
      <c r="U15" s="24"/>
      <c r="V15" s="38"/>
      <c r="W15" s="54"/>
      <c r="X15"/>
      <c r="Y15" s="54"/>
      <c r="Z15"/>
      <c r="AA15" s="54"/>
      <c r="AB15" s="18"/>
      <c r="AC15" s="18"/>
      <c r="AD15" s="42"/>
      <c r="AE15" s="18"/>
      <c r="AF15" s="18"/>
      <c r="AG15" s="18"/>
    </row>
    <row r="16" spans="1:33" ht="14.4" x14ac:dyDescent="0.3">
      <c r="A16" s="23">
        <f>+B16-H16</f>
        <v>-0.71999999999999975</v>
      </c>
      <c r="B16" s="24">
        <v>3</v>
      </c>
      <c r="C16" s="25">
        <v>14</v>
      </c>
      <c r="D16" s="6" t="s">
        <v>66</v>
      </c>
      <c r="E16" s="26">
        <v>1.24</v>
      </c>
      <c r="F16" s="26">
        <v>2.48</v>
      </c>
      <c r="G16" s="27">
        <f t="shared" si="4"/>
        <v>3.7199999999999998</v>
      </c>
      <c r="H16" s="26">
        <f t="shared" si="1"/>
        <v>3.7199999999999998</v>
      </c>
      <c r="I16" s="27">
        <v>0</v>
      </c>
      <c r="J16" s="28">
        <f>I16/I17*100</f>
        <v>0</v>
      </c>
      <c r="K16" s="29">
        <f>+J16*L16%</f>
        <v>0</v>
      </c>
      <c r="L16" s="6">
        <v>94</v>
      </c>
      <c r="M16" s="8" t="s">
        <v>67</v>
      </c>
      <c r="N16" s="6" t="s">
        <v>68</v>
      </c>
      <c r="O16" s="36" t="s">
        <v>69</v>
      </c>
      <c r="P16" s="6"/>
      <c r="Q16" s="6"/>
      <c r="R16" s="29"/>
      <c r="S16" s="31">
        <v>7</v>
      </c>
      <c r="T16" s="32" t="s">
        <v>65</v>
      </c>
      <c r="U16" s="56">
        <v>0.9</v>
      </c>
      <c r="V16" s="57" t="s">
        <v>70</v>
      </c>
      <c r="W16" s="58">
        <f>(W13*W14)/(W11-W10)</f>
        <v>14.577625202350729</v>
      </c>
      <c r="X16"/>
      <c r="Y16" s="58">
        <f>(Y13*Y14)/(Y11-Y10)</f>
        <v>15.630383029838718</v>
      </c>
      <c r="Z16"/>
      <c r="AA16" s="58">
        <f>(AA13*AA14)/(AA11-AA10)</f>
        <v>17.017754994392352</v>
      </c>
      <c r="AB16" s="18"/>
      <c r="AC16" s="18"/>
      <c r="AD16" s="42"/>
      <c r="AE16" s="18"/>
      <c r="AF16" s="18"/>
      <c r="AG16" s="18"/>
    </row>
    <row r="17" spans="1:33" ht="14.4" x14ac:dyDescent="0.3">
      <c r="A17" s="59">
        <f>+B17-H17</f>
        <v>99.436000000000149</v>
      </c>
      <c r="B17" s="6">
        <f>SUM(B3:B14)+B16</f>
        <v>1939</v>
      </c>
      <c r="C17" s="8"/>
      <c r="D17" s="6" t="s">
        <v>10</v>
      </c>
      <c r="E17" s="26">
        <f>SUM(E3:E16)</f>
        <v>1835.0940000000001</v>
      </c>
      <c r="F17" s="27">
        <f>SUM(F3:F16)</f>
        <v>478.46999999999997</v>
      </c>
      <c r="G17" s="27">
        <f>E17+F17</f>
        <v>2313.5639999999999</v>
      </c>
      <c r="H17" s="26">
        <f>SUM(H3:H16)</f>
        <v>1839.5639999999999</v>
      </c>
      <c r="I17" s="27">
        <f>SUM(I3:I16)</f>
        <v>474</v>
      </c>
      <c r="J17" s="28">
        <f>SUM(J3:J16)</f>
        <v>99.999999999999986</v>
      </c>
      <c r="K17" s="29">
        <f>SUM(K3:K16)</f>
        <v>85.55042194092826</v>
      </c>
      <c r="L17" s="6"/>
      <c r="M17" s="30">
        <f>+O2/I17*100</f>
        <v>85.927426160337546</v>
      </c>
      <c r="N17" s="60">
        <f>+K17</f>
        <v>85.55042194092826</v>
      </c>
      <c r="O17" s="27">
        <f>+M17-N17</f>
        <v>0.37700421940928663</v>
      </c>
      <c r="P17" s="36">
        <f>1036+27</f>
        <v>1063</v>
      </c>
      <c r="Q17" s="6">
        <f>SUM(Q3:Q16)</f>
        <v>100</v>
      </c>
      <c r="R17" s="29">
        <f t="shared" si="3"/>
        <v>0</v>
      </c>
      <c r="S17" s="31">
        <v>8</v>
      </c>
      <c r="T17" s="32" t="s">
        <v>70</v>
      </c>
      <c r="U17" s="61">
        <f>(U14*U16)/(U12-U11)</f>
        <v>17.196542186775005</v>
      </c>
      <c r="V17" s="38" t="s">
        <v>71</v>
      </c>
      <c r="W17" s="50">
        <v>34</v>
      </c>
      <c r="X17"/>
      <c r="Y17" s="50">
        <v>34</v>
      </c>
      <c r="Z17"/>
      <c r="AA17" s="50">
        <v>34</v>
      </c>
      <c r="AB17" s="18"/>
      <c r="AC17" s="18"/>
      <c r="AD17" s="18"/>
      <c r="AE17" s="18"/>
      <c r="AF17" s="18"/>
      <c r="AG17" s="18"/>
    </row>
    <row r="18" spans="1:33" ht="14.4" x14ac:dyDescent="0.3">
      <c r="A18" s="62"/>
      <c r="B18" s="63">
        <f>+H17-B17</f>
        <v>-99.436000000000149</v>
      </c>
      <c r="C18" s="8"/>
      <c r="D18" s="6"/>
      <c r="E18" s="26"/>
      <c r="F18" s="27"/>
      <c r="G18" s="27"/>
      <c r="H18" s="26"/>
      <c r="I18" s="27"/>
      <c r="J18" s="28" t="s">
        <v>72</v>
      </c>
      <c r="K18" s="64">
        <f>P2/M3</f>
        <v>1.630139912159027E-2</v>
      </c>
      <c r="L18" s="6"/>
      <c r="M18" s="30"/>
      <c r="N18" s="60"/>
      <c r="O18" s="27"/>
      <c r="P18" s="36">
        <f>+P17-P19</f>
        <v>363.12100000000009</v>
      </c>
      <c r="Q18" s="6"/>
      <c r="R18" s="29"/>
      <c r="S18" s="31"/>
      <c r="T18" s="32"/>
      <c r="U18" s="61"/>
      <c r="V18" s="38"/>
      <c r="W18" s="50"/>
      <c r="X18"/>
      <c r="Y18" s="50"/>
      <c r="Z18"/>
      <c r="AA18" s="50"/>
      <c r="AB18" s="18"/>
      <c r="AC18" s="18"/>
      <c r="AD18" s="18"/>
      <c r="AE18" s="18"/>
      <c r="AF18" s="18"/>
      <c r="AG18" s="18"/>
    </row>
    <row r="19" spans="1:33" ht="23.4" x14ac:dyDescent="0.45">
      <c r="A19" s="6">
        <f>B3+B4+B5+B13</f>
        <v>836</v>
      </c>
      <c r="B19" s="6">
        <f>B12+B14+B16</f>
        <v>696</v>
      </c>
      <c r="C19" s="8"/>
      <c r="D19" s="6" t="s">
        <v>73</v>
      </c>
      <c r="E19" s="27">
        <v>0</v>
      </c>
      <c r="F19" s="27">
        <v>0</v>
      </c>
      <c r="G19" s="27">
        <f>+E19+F19</f>
        <v>0</v>
      </c>
      <c r="H19" s="27">
        <f>G19-I19</f>
        <v>0</v>
      </c>
      <c r="I19" s="27">
        <f>F19</f>
        <v>0</v>
      </c>
      <c r="J19" s="65"/>
      <c r="K19" s="29"/>
      <c r="L19" s="6" t="s">
        <v>74</v>
      </c>
      <c r="M19" s="25" t="s">
        <v>75</v>
      </c>
      <c r="N19" s="66">
        <f>H3+H4+H5+H13+H10</f>
        <v>793.81</v>
      </c>
      <c r="O19" s="65" t="s">
        <v>76</v>
      </c>
      <c r="P19" s="67">
        <f>H12+H14+H16</f>
        <v>699.87899999999991</v>
      </c>
      <c r="Q19" s="27">
        <f>+P19+N19</f>
        <v>1493.6889999999999</v>
      </c>
      <c r="R19" s="68"/>
      <c r="S19" s="31">
        <v>9</v>
      </c>
      <c r="T19" s="32" t="s">
        <v>71</v>
      </c>
      <c r="U19" s="24">
        <v>34</v>
      </c>
      <c r="V19" s="38" t="s">
        <v>77</v>
      </c>
      <c r="W19" s="69">
        <f>W17*60/W16</f>
        <v>139.94048904968676</v>
      </c>
      <c r="X19"/>
      <c r="Y19" s="69">
        <f>Y17*60/Y16</f>
        <v>130.51503575476036</v>
      </c>
      <c r="Z19"/>
      <c r="AA19" s="69">
        <f>AA17*60/AA16</f>
        <v>119.87480138668207</v>
      </c>
      <c r="AB19" s="18"/>
      <c r="AC19" s="18"/>
      <c r="AD19" s="18"/>
      <c r="AE19" s="18"/>
      <c r="AF19" s="18"/>
      <c r="AG19" s="18"/>
    </row>
    <row r="20" spans="1:33" ht="14.4" x14ac:dyDescent="0.3">
      <c r="A20" s="63">
        <f>A19-N19</f>
        <v>42.190000000000055</v>
      </c>
      <c r="B20" s="70">
        <f>B19-P19</f>
        <v>-3.8789999999999054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31">
        <v>10</v>
      </c>
      <c r="T20" s="32" t="s">
        <v>77</v>
      </c>
      <c r="U20" s="71">
        <f>U19*60/U17</f>
        <v>118.62849972065089</v>
      </c>
      <c r="V20" s="57" t="s">
        <v>78</v>
      </c>
      <c r="W20" s="72">
        <v>5</v>
      </c>
      <c r="X20"/>
      <c r="Y20" s="72">
        <v>12</v>
      </c>
      <c r="Z20"/>
      <c r="AA20" s="72">
        <v>15</v>
      </c>
      <c r="AB20" s="18"/>
      <c r="AC20" s="18"/>
      <c r="AD20" s="18"/>
      <c r="AE20" s="18"/>
      <c r="AF20" s="18"/>
      <c r="AG20" s="18"/>
    </row>
    <row r="21" spans="1:33" ht="42" x14ac:dyDescent="0.3">
      <c r="A21" s="73"/>
      <c r="B21" s="74"/>
      <c r="C21" s="74"/>
      <c r="H21" s="2"/>
      <c r="S21" s="8">
        <v>11</v>
      </c>
      <c r="T21" s="32" t="s">
        <v>78</v>
      </c>
      <c r="U21" s="75">
        <v>6</v>
      </c>
      <c r="V21" s="57" t="s">
        <v>79</v>
      </c>
      <c r="W21" s="72">
        <f>W20+W19</f>
        <v>144.94048904968676</v>
      </c>
      <c r="X21"/>
      <c r="Y21" s="72">
        <f>Y20+Y19</f>
        <v>142.51503575476036</v>
      </c>
      <c r="Z21"/>
      <c r="AA21" s="72">
        <f>AA20+AA19</f>
        <v>134.87480138668207</v>
      </c>
      <c r="AB21" s="18"/>
      <c r="AC21" s="18"/>
      <c r="AD21" s="18"/>
      <c r="AE21" s="18"/>
      <c r="AF21" s="18"/>
      <c r="AG21" s="18"/>
    </row>
    <row r="22" spans="1:33" s="82" customFormat="1" ht="14.4" x14ac:dyDescent="0.3">
      <c r="A22" s="76"/>
      <c r="B22" s="77">
        <f>A12+A16</f>
        <v>-20.858999999999895</v>
      </c>
      <c r="C22" s="78"/>
      <c r="D22" s="2"/>
      <c r="E22" s="79">
        <f>H12+H14+H16</f>
        <v>699.87899999999991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6">
        <v>12</v>
      </c>
      <c r="T22" s="32" t="s">
        <v>79</v>
      </c>
      <c r="U22" s="71">
        <f>U21+U20</f>
        <v>124.62849972065089</v>
      </c>
      <c r="V22" s="38" t="s">
        <v>80</v>
      </c>
      <c r="W22" s="80">
        <f>24*60/W21</f>
        <v>9.9351120548955549</v>
      </c>
      <c r="X22"/>
      <c r="Y22" s="80">
        <f>24*60/Y21</f>
        <v>10.104197022957981</v>
      </c>
      <c r="Z22"/>
      <c r="AA22" s="80">
        <f>24*60/AA21</f>
        <v>10.676568085327983</v>
      </c>
      <c r="AB22" s="81"/>
      <c r="AC22" s="81"/>
      <c r="AD22" s="81"/>
      <c r="AE22" s="81"/>
      <c r="AF22" s="81"/>
      <c r="AG22" s="81"/>
    </row>
    <row r="23" spans="1:33" ht="14.4" x14ac:dyDescent="0.3">
      <c r="A23" s="83"/>
      <c r="B23" s="84"/>
      <c r="C23" s="84"/>
      <c r="E23" s="2">
        <f>B12+B14+B16</f>
        <v>696</v>
      </c>
      <c r="H23" s="2"/>
      <c r="S23" s="6">
        <v>13</v>
      </c>
      <c r="T23" s="32" t="s">
        <v>80</v>
      </c>
      <c r="U23" s="85">
        <f>24*60/U22</f>
        <v>11.554339522883565</v>
      </c>
      <c r="V23" s="57" t="s">
        <v>81</v>
      </c>
      <c r="W23" s="86">
        <f>W22*W17</f>
        <v>337.7938098664489</v>
      </c>
      <c r="X23"/>
      <c r="Y23" s="86">
        <f>Y22*Y17</f>
        <v>343.54269878057136</v>
      </c>
      <c r="Z23"/>
      <c r="AA23" s="86">
        <f>AA22*AA17</f>
        <v>363.00331490115138</v>
      </c>
      <c r="AB23" s="18"/>
      <c r="AC23" s="18"/>
      <c r="AD23" s="18"/>
      <c r="AE23" s="18"/>
      <c r="AF23" s="18"/>
      <c r="AG23" s="18"/>
    </row>
    <row r="24" spans="1:33" ht="15" thickBot="1" x14ac:dyDescent="0.35">
      <c r="A24" s="73"/>
      <c r="B24" s="74"/>
      <c r="C24" s="87"/>
      <c r="E24" s="79">
        <f>E23-E22</f>
        <v>-3.8789999999999054</v>
      </c>
      <c r="H24" s="2"/>
      <c r="S24" s="6">
        <v>14</v>
      </c>
      <c r="T24" s="88" t="s">
        <v>81</v>
      </c>
      <c r="U24" s="89">
        <f>U23*U19</f>
        <v>392.8475437780412</v>
      </c>
      <c r="V24" s="57" t="s">
        <v>82</v>
      </c>
      <c r="W24" s="3">
        <v>65</v>
      </c>
      <c r="X24"/>
      <c r="Y24" s="90">
        <f>+W23*W24/Y23</f>
        <v>63.912281411468342</v>
      </c>
      <c r="Z24" s="91"/>
      <c r="AA24" s="90">
        <f>+Y23*Y24/AA23</f>
        <v>60.485942524514222</v>
      </c>
      <c r="AB24" s="18"/>
      <c r="AC24" s="18"/>
      <c r="AD24" s="18"/>
      <c r="AE24" s="18"/>
      <c r="AF24" s="18"/>
      <c r="AG24" s="18"/>
    </row>
    <row r="25" spans="1:33" ht="13.8" x14ac:dyDescent="0.3">
      <c r="A25" s="83"/>
      <c r="B25" s="92"/>
      <c r="C25" s="87"/>
      <c r="H25" s="2"/>
      <c r="S25" s="18"/>
      <c r="T25" s="93"/>
      <c r="U25" s="94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1:33" ht="13.8" x14ac:dyDescent="0.3">
      <c r="A26" s="83"/>
      <c r="B26" s="95"/>
      <c r="C26" s="87"/>
      <c r="H26" s="2"/>
      <c r="S26" s="18"/>
      <c r="T26" s="81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 x14ac:dyDescent="0.2">
      <c r="C27" s="81"/>
      <c r="S27" s="18"/>
      <c r="T27" s="81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 x14ac:dyDescent="0.2">
      <c r="C28" s="81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</sheetData>
  <mergeCells count="3">
    <mergeCell ref="A1:N1"/>
    <mergeCell ref="T1:U1"/>
    <mergeCell ref="C20:R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C59E-96F4-4F64-9D03-AC913C2096D2}">
  <dimension ref="A1:AG28"/>
  <sheetViews>
    <sheetView workbookViewId="0">
      <selection activeCell="E21" sqref="E21"/>
    </sheetView>
  </sheetViews>
  <sheetFormatPr defaultColWidth="9.109375" defaultRowHeight="10.199999999999999" x14ac:dyDescent="0.2"/>
  <cols>
    <col min="1" max="1" width="14.109375" style="2" bestFit="1" customWidth="1"/>
    <col min="2" max="2" width="7.88671875" style="2" bestFit="1" customWidth="1"/>
    <col min="3" max="3" width="8.44140625" style="82" bestFit="1" customWidth="1"/>
    <col min="4" max="4" width="17.5546875" style="2" bestFit="1" customWidth="1"/>
    <col min="5" max="5" width="10.88671875" style="2" bestFit="1" customWidth="1"/>
    <col min="6" max="6" width="7.33203125" style="2" bestFit="1" customWidth="1"/>
    <col min="7" max="7" width="9.109375" style="2"/>
    <col min="8" max="8" width="10" style="82" customWidth="1"/>
    <col min="9" max="9" width="9.5546875" style="2" bestFit="1" customWidth="1"/>
    <col min="10" max="10" width="10.44140625" style="2" bestFit="1" customWidth="1"/>
    <col min="11" max="11" width="12" style="2" customWidth="1"/>
    <col min="12" max="12" width="10.109375" style="2" bestFit="1" customWidth="1"/>
    <col min="13" max="13" width="10.5546875" style="2" bestFit="1" customWidth="1"/>
    <col min="14" max="14" width="15" style="2" customWidth="1"/>
    <col min="15" max="15" width="12.109375" style="2" customWidth="1"/>
    <col min="16" max="16" width="15.33203125" style="2" customWidth="1"/>
    <col min="17" max="17" width="7.44140625" style="2" bestFit="1" customWidth="1"/>
    <col min="18" max="18" width="7.6640625" style="2" customWidth="1"/>
    <col min="19" max="19" width="5.33203125" style="2" bestFit="1" customWidth="1"/>
    <col min="20" max="20" width="27.5546875" style="82" customWidth="1"/>
    <col min="21" max="21" width="11.44140625" style="2" bestFit="1" customWidth="1"/>
    <col min="22" max="22" width="30.88671875" style="2" customWidth="1"/>
    <col min="23" max="23" width="11.44140625" style="2" bestFit="1" customWidth="1"/>
    <col min="24" max="24" width="6.109375" style="2" bestFit="1" customWidth="1"/>
    <col min="25" max="25" width="11.44140625" style="2" bestFit="1" customWidth="1"/>
    <col min="26" max="26" width="5.44140625" style="2" bestFit="1" customWidth="1"/>
    <col min="27" max="27" width="11.44140625" style="2" bestFit="1" customWidth="1"/>
    <col min="28" max="28" width="6.6640625" style="2" bestFit="1" customWidth="1"/>
    <col min="29" max="29" width="5.5546875" style="2" bestFit="1" customWidth="1"/>
    <col min="30" max="30" width="7" style="2" bestFit="1" customWidth="1"/>
    <col min="31" max="31" width="4.44140625" style="2" bestFit="1" customWidth="1"/>
    <col min="32" max="16384" width="9.109375" style="2"/>
  </cols>
  <sheetData>
    <row r="1" spans="1:33" ht="15" thickBot="1" x14ac:dyDescent="0.35">
      <c r="A1" s="96" t="s">
        <v>87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1" t="s">
        <v>0</v>
      </c>
      <c r="P1" s="1" t="s">
        <v>1</v>
      </c>
      <c r="Q1" s="1"/>
      <c r="R1" s="1"/>
      <c r="T1" s="97" t="s">
        <v>2</v>
      </c>
      <c r="U1" s="98"/>
      <c r="V1" s="3" t="s">
        <v>3</v>
      </c>
      <c r="W1" s="4">
        <v>0.5</v>
      </c>
      <c r="X1"/>
      <c r="Y1" s="5">
        <v>0.4</v>
      </c>
      <c r="Z1"/>
      <c r="AA1" s="5">
        <v>0.3</v>
      </c>
    </row>
    <row r="2" spans="1:33" ht="14.4" x14ac:dyDescent="0.3">
      <c r="A2" s="6" t="s">
        <v>4</v>
      </c>
      <c r="B2" s="7" t="s">
        <v>5</v>
      </c>
      <c r="C2" s="8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8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9" t="s">
        <v>17</v>
      </c>
      <c r="O2" s="10">
        <v>416.40499999999997</v>
      </c>
      <c r="P2" s="11">
        <v>6.05</v>
      </c>
      <c r="Q2" s="6" t="s">
        <v>18</v>
      </c>
      <c r="R2" s="6" t="s">
        <v>19</v>
      </c>
      <c r="S2" s="12" t="s">
        <v>20</v>
      </c>
      <c r="T2" s="13" t="s">
        <v>21</v>
      </c>
      <c r="U2" s="14" t="s">
        <v>22</v>
      </c>
      <c r="V2" s="15" t="s">
        <v>21</v>
      </c>
      <c r="W2" s="16" t="s">
        <v>22</v>
      </c>
      <c r="X2"/>
      <c r="Y2" s="17" t="s">
        <v>22</v>
      </c>
      <c r="Z2"/>
      <c r="AA2" s="17" t="s">
        <v>22</v>
      </c>
      <c r="AB2" s="18"/>
      <c r="AC2" s="18"/>
      <c r="AD2" s="19"/>
      <c r="AE2" s="20"/>
      <c r="AF2" s="21"/>
      <c r="AG2" s="22"/>
    </row>
    <row r="3" spans="1:33" ht="14.4" x14ac:dyDescent="0.3">
      <c r="A3" s="23">
        <f>+B3-H3</f>
        <v>5.2599999999999909</v>
      </c>
      <c r="B3" s="24">
        <v>391</v>
      </c>
      <c r="C3" s="25">
        <v>1</v>
      </c>
      <c r="D3" s="6" t="s">
        <v>23</v>
      </c>
      <c r="E3" s="26">
        <v>414.95</v>
      </c>
      <c r="F3" s="26">
        <v>40.79</v>
      </c>
      <c r="G3" s="27">
        <f>E3+F3</f>
        <v>455.74</v>
      </c>
      <c r="H3" s="26">
        <f>G3-I3</f>
        <v>385.74</v>
      </c>
      <c r="I3" s="27">
        <v>70</v>
      </c>
      <c r="J3" s="28">
        <f>I3/I17*100</f>
        <v>14.522821576763487</v>
      </c>
      <c r="K3" s="29">
        <f>+J3*L3%</f>
        <v>11.671991701244815</v>
      </c>
      <c r="L3" s="30">
        <v>80.37</v>
      </c>
      <c r="M3" s="27">
        <v>416.40499999999997</v>
      </c>
      <c r="N3" s="28">
        <f>U24</f>
        <v>396.26107533947192</v>
      </c>
      <c r="O3" s="30" t="s">
        <v>24</v>
      </c>
      <c r="P3" s="27" t="s">
        <v>25</v>
      </c>
      <c r="Q3" s="6">
        <v>16</v>
      </c>
      <c r="R3" s="29">
        <f>Q3-J3</f>
        <v>1.4771784232365128</v>
      </c>
      <c r="S3" s="31"/>
      <c r="T3" s="32" t="s">
        <v>26</v>
      </c>
      <c r="U3" s="24">
        <v>30</v>
      </c>
      <c r="V3" s="33" t="s">
        <v>26</v>
      </c>
      <c r="W3" s="34">
        <v>30</v>
      </c>
      <c r="X3"/>
      <c r="Y3" s="34">
        <v>30</v>
      </c>
      <c r="Z3"/>
      <c r="AA3" s="34">
        <v>30</v>
      </c>
      <c r="AB3" s="18"/>
      <c r="AC3" s="18"/>
      <c r="AD3" s="18"/>
      <c r="AE3" s="35"/>
      <c r="AF3" s="18"/>
      <c r="AG3" s="18"/>
    </row>
    <row r="4" spans="1:33" ht="14.4" x14ac:dyDescent="0.3">
      <c r="A4" s="23">
        <f t="shared" ref="A4:A15" si="0">+B4-H4</f>
        <v>-2.9099999999999682</v>
      </c>
      <c r="B4" s="24">
        <v>274</v>
      </c>
      <c r="C4" s="25">
        <v>2</v>
      </c>
      <c r="D4" s="6" t="s">
        <v>27</v>
      </c>
      <c r="E4" s="26">
        <v>269.07</v>
      </c>
      <c r="F4" s="26">
        <v>47.84</v>
      </c>
      <c r="G4" s="27">
        <f>E4+F4</f>
        <v>316.90999999999997</v>
      </c>
      <c r="H4" s="26">
        <f t="shared" ref="H4:H16" si="1">G4-I4</f>
        <v>276.90999999999997</v>
      </c>
      <c r="I4" s="27">
        <v>40</v>
      </c>
      <c r="J4" s="28">
        <f>I4/I17*100</f>
        <v>8.2987551867219906</v>
      </c>
      <c r="K4" s="29">
        <f t="shared" ref="K4:K13" si="2">+J4*L4%</f>
        <v>6.2049792531120316</v>
      </c>
      <c r="L4" s="30">
        <v>74.77</v>
      </c>
      <c r="M4" s="6" t="s">
        <v>28</v>
      </c>
      <c r="N4" s="6" t="s">
        <v>29</v>
      </c>
      <c r="O4" s="36">
        <v>269485</v>
      </c>
      <c r="P4" s="36">
        <v>23612</v>
      </c>
      <c r="Q4" s="6">
        <v>13</v>
      </c>
      <c r="R4" s="29">
        <f t="shared" ref="R4:R17" si="3">Q4-J4</f>
        <v>4.7012448132780094</v>
      </c>
      <c r="S4" s="31">
        <v>1</v>
      </c>
      <c r="T4" s="32" t="s">
        <v>30</v>
      </c>
      <c r="U4" s="37">
        <f>M17</f>
        <v>86.39107883817428</v>
      </c>
      <c r="V4" s="38" t="s">
        <v>30</v>
      </c>
      <c r="W4" s="39">
        <v>86.44</v>
      </c>
      <c r="X4"/>
      <c r="Y4" s="39">
        <f>U4</f>
        <v>86.39107883817428</v>
      </c>
      <c r="Z4"/>
      <c r="AA4" s="39">
        <v>84.28</v>
      </c>
      <c r="AB4" s="18"/>
      <c r="AC4" s="18"/>
      <c r="AD4" s="18"/>
      <c r="AE4" s="18"/>
      <c r="AF4" s="18"/>
      <c r="AG4" s="18"/>
    </row>
    <row r="5" spans="1:33" ht="14.4" x14ac:dyDescent="0.3">
      <c r="A5" s="23">
        <f t="shared" si="0"/>
        <v>30.620000000000005</v>
      </c>
      <c r="B5" s="24">
        <v>142</v>
      </c>
      <c r="C5" s="25">
        <v>3</v>
      </c>
      <c r="D5" s="6" t="s">
        <v>31</v>
      </c>
      <c r="E5" s="26">
        <v>97.03</v>
      </c>
      <c r="F5" s="26">
        <v>124.35</v>
      </c>
      <c r="G5" s="27">
        <f>E5+F5</f>
        <v>221.38</v>
      </c>
      <c r="H5" s="26">
        <f t="shared" si="1"/>
        <v>111.38</v>
      </c>
      <c r="I5" s="27">
        <v>110</v>
      </c>
      <c r="J5" s="28">
        <f>I5/I17*100</f>
        <v>22.821576763485478</v>
      </c>
      <c r="K5" s="29">
        <f t="shared" si="2"/>
        <v>18.010788381742739</v>
      </c>
      <c r="L5" s="30">
        <v>78.92</v>
      </c>
      <c r="M5" s="36">
        <f>O4/O2</f>
        <v>647.17042302566017</v>
      </c>
      <c r="N5" s="36">
        <f>+U12</f>
        <v>653.46983543839804</v>
      </c>
      <c r="O5" s="36">
        <f>+N5-M5</f>
        <v>6.2994124127378655</v>
      </c>
      <c r="P5" s="36">
        <f>+P4/O2</f>
        <v>56.704410369712186</v>
      </c>
      <c r="Q5" s="6">
        <v>18</v>
      </c>
      <c r="R5" s="29">
        <f t="shared" si="3"/>
        <v>-4.8215767634854778</v>
      </c>
      <c r="S5" s="31"/>
      <c r="T5" s="32" t="s">
        <v>32</v>
      </c>
      <c r="U5" s="40" t="s">
        <v>33</v>
      </c>
      <c r="V5" s="38" t="s">
        <v>32</v>
      </c>
      <c r="W5" s="41" t="s">
        <v>33</v>
      </c>
      <c r="X5"/>
      <c r="Y5" s="41" t="s">
        <v>33</v>
      </c>
      <c r="Z5"/>
      <c r="AA5" s="41" t="s">
        <v>33</v>
      </c>
      <c r="AB5" s="18"/>
      <c r="AC5" s="18"/>
      <c r="AD5" s="42"/>
      <c r="AE5" s="18"/>
      <c r="AF5" s="18"/>
      <c r="AG5" s="18"/>
    </row>
    <row r="6" spans="1:33" ht="14.4" x14ac:dyDescent="0.3">
      <c r="A6" s="23">
        <f t="shared" si="0"/>
        <v>36.449999999999989</v>
      </c>
      <c r="B6" s="24">
        <v>351</v>
      </c>
      <c r="C6" s="25">
        <v>4</v>
      </c>
      <c r="D6" s="6" t="s">
        <v>34</v>
      </c>
      <c r="E6" s="26">
        <v>314.55</v>
      </c>
      <c r="F6" s="26">
        <v>0</v>
      </c>
      <c r="G6" s="27">
        <f t="shared" ref="G6:G16" si="4">E6+F6</f>
        <v>314.55</v>
      </c>
      <c r="H6" s="26">
        <f>G6-I6</f>
        <v>314.55</v>
      </c>
      <c r="I6" s="27">
        <v>0</v>
      </c>
      <c r="J6" s="28">
        <f>I6/I17*100</f>
        <v>0</v>
      </c>
      <c r="K6" s="29">
        <f t="shared" si="2"/>
        <v>0</v>
      </c>
      <c r="L6" s="6">
        <v>94</v>
      </c>
      <c r="M6" s="6" t="s">
        <v>35</v>
      </c>
      <c r="N6" s="6"/>
      <c r="O6" s="6" t="s">
        <v>36</v>
      </c>
      <c r="P6" s="6">
        <v>3240</v>
      </c>
      <c r="Q6" s="6">
        <v>0</v>
      </c>
      <c r="R6" s="29">
        <f t="shared" si="3"/>
        <v>0</v>
      </c>
      <c r="S6" s="31"/>
      <c r="T6" s="32" t="s">
        <v>37</v>
      </c>
      <c r="U6" s="40" t="s">
        <v>38</v>
      </c>
      <c r="V6" s="38" t="s">
        <v>37</v>
      </c>
      <c r="W6" s="41" t="s">
        <v>39</v>
      </c>
      <c r="X6"/>
      <c r="Y6" s="41" t="s">
        <v>39</v>
      </c>
      <c r="Z6"/>
      <c r="AA6" s="41" t="s">
        <v>39</v>
      </c>
      <c r="AB6" s="43"/>
      <c r="AC6" s="44"/>
      <c r="AD6" s="44"/>
      <c r="AE6" s="44"/>
      <c r="AF6" s="18"/>
      <c r="AG6" s="18"/>
    </row>
    <row r="7" spans="1:33" ht="14.4" x14ac:dyDescent="0.3">
      <c r="A7" s="23">
        <v>0</v>
      </c>
      <c r="B7" s="24">
        <v>0</v>
      </c>
      <c r="C7" s="25">
        <v>5</v>
      </c>
      <c r="D7" s="6" t="s">
        <v>40</v>
      </c>
      <c r="E7" s="26">
        <v>0</v>
      </c>
      <c r="F7" s="26">
        <v>0</v>
      </c>
      <c r="G7" s="27">
        <f t="shared" si="4"/>
        <v>0</v>
      </c>
      <c r="H7" s="26">
        <f t="shared" si="1"/>
        <v>0</v>
      </c>
      <c r="I7" s="27">
        <v>0</v>
      </c>
      <c r="J7" s="28">
        <f>I7/I17*100</f>
        <v>0</v>
      </c>
      <c r="K7" s="29">
        <f t="shared" si="2"/>
        <v>0</v>
      </c>
      <c r="L7" s="6">
        <v>88</v>
      </c>
      <c r="M7" s="36">
        <f>+P5+P8</f>
        <v>64.485296766369288</v>
      </c>
      <c r="N7" s="36">
        <v>67</v>
      </c>
      <c r="O7" s="36">
        <f>+N7-M7</f>
        <v>2.514703233630712</v>
      </c>
      <c r="P7" s="36"/>
      <c r="Q7" s="6">
        <v>0</v>
      </c>
      <c r="R7" s="29">
        <f t="shared" si="3"/>
        <v>0</v>
      </c>
      <c r="S7" s="31">
        <v>2</v>
      </c>
      <c r="T7" s="32" t="s">
        <v>41</v>
      </c>
      <c r="U7" s="40">
        <v>455</v>
      </c>
      <c r="V7" s="38" t="s">
        <v>41</v>
      </c>
      <c r="W7" s="41">
        <v>465</v>
      </c>
      <c r="X7"/>
      <c r="Y7" s="41">
        <v>455</v>
      </c>
      <c r="Z7"/>
      <c r="AA7" s="41">
        <v>455</v>
      </c>
      <c r="AB7" s="18"/>
      <c r="AC7" s="18"/>
      <c r="AD7" s="42"/>
      <c r="AE7" s="18"/>
      <c r="AF7" s="18"/>
      <c r="AG7" s="18"/>
    </row>
    <row r="8" spans="1:33" ht="14.4" x14ac:dyDescent="0.3">
      <c r="A8" s="23">
        <f t="shared" si="0"/>
        <v>20.175000000000001</v>
      </c>
      <c r="B8" s="24">
        <v>52</v>
      </c>
      <c r="C8" s="25">
        <v>6</v>
      </c>
      <c r="D8" s="6" t="s">
        <v>42</v>
      </c>
      <c r="E8" s="26">
        <v>31.324999999999999</v>
      </c>
      <c r="F8" s="26">
        <v>0.5</v>
      </c>
      <c r="G8" s="27">
        <f t="shared" si="4"/>
        <v>31.824999999999999</v>
      </c>
      <c r="H8" s="26">
        <f t="shared" si="1"/>
        <v>31.824999999999999</v>
      </c>
      <c r="I8" s="27">
        <v>0</v>
      </c>
      <c r="J8" s="28">
        <f>I8/I17*100</f>
        <v>0</v>
      </c>
      <c r="K8" s="29">
        <f t="shared" si="2"/>
        <v>0</v>
      </c>
      <c r="L8" s="6">
        <v>90</v>
      </c>
      <c r="M8" s="30" t="s">
        <v>43</v>
      </c>
      <c r="N8" s="30" t="s">
        <v>44</v>
      </c>
      <c r="O8" s="6" t="s">
        <v>45</v>
      </c>
      <c r="P8" s="36">
        <f>+P6/O2</f>
        <v>7.7808863966571016</v>
      </c>
      <c r="Q8" s="6">
        <v>0</v>
      </c>
      <c r="R8" s="29">
        <f t="shared" si="3"/>
        <v>0</v>
      </c>
      <c r="S8" s="31"/>
      <c r="T8" s="32"/>
      <c r="U8" s="40"/>
      <c r="V8" s="38" t="s">
        <v>46</v>
      </c>
      <c r="W8" s="45">
        <f>((W7*(2-W4/100))/(W4/100))</f>
        <v>610.89079130032405</v>
      </c>
      <c r="X8"/>
      <c r="Y8" s="45">
        <f>((Y7*(2-Y4/100))/(Y4/100))</f>
        <v>598.34950348819052</v>
      </c>
      <c r="Z8"/>
      <c r="AA8" s="45">
        <f>((AA7*(2-AA4/100))/(AA4/100))</f>
        <v>624.73421926910294</v>
      </c>
      <c r="AB8" s="18"/>
      <c r="AC8" s="18"/>
      <c r="AD8" s="42"/>
      <c r="AE8" s="18"/>
      <c r="AF8" s="18"/>
      <c r="AG8" s="18"/>
    </row>
    <row r="9" spans="1:33" ht="14.4" x14ac:dyDescent="0.3">
      <c r="A9" s="23">
        <f t="shared" si="0"/>
        <v>0</v>
      </c>
      <c r="B9" s="24">
        <v>0</v>
      </c>
      <c r="C9" s="25">
        <v>7</v>
      </c>
      <c r="D9" s="6" t="s">
        <v>47</v>
      </c>
      <c r="E9" s="26">
        <v>0</v>
      </c>
      <c r="F9" s="26">
        <v>0</v>
      </c>
      <c r="G9" s="46">
        <f t="shared" si="4"/>
        <v>0</v>
      </c>
      <c r="H9" s="26">
        <f t="shared" si="1"/>
        <v>0</v>
      </c>
      <c r="I9" s="27">
        <v>0</v>
      </c>
      <c r="J9" s="28">
        <f>I9/I17*100</f>
        <v>0</v>
      </c>
      <c r="K9" s="29">
        <f t="shared" si="2"/>
        <v>0</v>
      </c>
      <c r="L9" s="6">
        <v>93</v>
      </c>
      <c r="M9" s="36">
        <f>+M5+M7</f>
        <v>711.65571979202946</v>
      </c>
      <c r="N9" s="36">
        <f>+N5+N7</f>
        <v>720.46983543839804</v>
      </c>
      <c r="O9" s="36">
        <f>+N9-M9</f>
        <v>8.8141156463685775</v>
      </c>
      <c r="P9" s="36"/>
      <c r="Q9" s="6">
        <v>0</v>
      </c>
      <c r="R9" s="29">
        <f t="shared" si="3"/>
        <v>0</v>
      </c>
      <c r="S9" s="31" t="s">
        <v>48</v>
      </c>
      <c r="T9" s="32" t="s">
        <v>46</v>
      </c>
      <c r="U9" s="47">
        <f>((U7*(2-U4/100))/(U4/100))</f>
        <v>598.34950348819052</v>
      </c>
      <c r="V9" s="38" t="s">
        <v>49</v>
      </c>
      <c r="W9" s="45">
        <v>24</v>
      </c>
      <c r="X9"/>
      <c r="Y9" s="45">
        <v>24</v>
      </c>
      <c r="Z9"/>
      <c r="AA9" s="45">
        <v>24</v>
      </c>
      <c r="AB9" s="18"/>
      <c r="AC9" s="18"/>
      <c r="AD9" s="42"/>
      <c r="AE9" s="18"/>
      <c r="AF9" s="18"/>
      <c r="AG9" s="18"/>
    </row>
    <row r="10" spans="1:33" ht="14.4" x14ac:dyDescent="0.3">
      <c r="A10" s="23">
        <f t="shared" si="0"/>
        <v>0</v>
      </c>
      <c r="B10" s="24">
        <v>0</v>
      </c>
      <c r="C10" s="25">
        <v>8</v>
      </c>
      <c r="D10" s="6" t="s">
        <v>50</v>
      </c>
      <c r="E10" s="26">
        <v>0</v>
      </c>
      <c r="F10" s="26">
        <v>0</v>
      </c>
      <c r="G10" s="27">
        <f t="shared" si="4"/>
        <v>0</v>
      </c>
      <c r="H10" s="26">
        <f t="shared" si="1"/>
        <v>0</v>
      </c>
      <c r="I10" s="27">
        <v>0</v>
      </c>
      <c r="J10" s="28">
        <f>I10/I17*100</f>
        <v>0</v>
      </c>
      <c r="K10" s="29">
        <f t="shared" si="2"/>
        <v>0</v>
      </c>
      <c r="L10" s="6">
        <v>70</v>
      </c>
      <c r="M10" s="6"/>
      <c r="N10" s="6"/>
      <c r="O10" s="6"/>
      <c r="P10" s="6"/>
      <c r="Q10" s="6">
        <v>0</v>
      </c>
      <c r="R10" s="29">
        <f t="shared" si="3"/>
        <v>0</v>
      </c>
      <c r="S10" s="31" t="s">
        <v>51</v>
      </c>
      <c r="T10" s="32" t="s">
        <v>49</v>
      </c>
      <c r="U10" s="47">
        <v>24</v>
      </c>
      <c r="V10" s="38" t="s">
        <v>52</v>
      </c>
      <c r="W10" s="45">
        <v>20</v>
      </c>
      <c r="X10"/>
      <c r="Y10" s="45">
        <f>U11</f>
        <v>31.120331950207468</v>
      </c>
      <c r="Z10"/>
      <c r="AA10" s="45">
        <v>25</v>
      </c>
      <c r="AB10" s="18"/>
      <c r="AC10" s="18"/>
      <c r="AD10" s="42"/>
      <c r="AE10" s="18"/>
      <c r="AF10" s="18"/>
      <c r="AG10" s="18"/>
    </row>
    <row r="11" spans="1:33" ht="14.4" x14ac:dyDescent="0.3">
      <c r="A11" s="23">
        <f t="shared" si="0"/>
        <v>5</v>
      </c>
      <c r="B11" s="24">
        <v>5</v>
      </c>
      <c r="C11" s="25">
        <v>9</v>
      </c>
      <c r="D11" s="6" t="s">
        <v>53</v>
      </c>
      <c r="E11" s="26">
        <v>0</v>
      </c>
      <c r="F11" s="26">
        <v>0</v>
      </c>
      <c r="G11" s="27">
        <f>E11+F11</f>
        <v>0</v>
      </c>
      <c r="H11" s="26">
        <f t="shared" si="1"/>
        <v>0</v>
      </c>
      <c r="I11" s="27">
        <v>0</v>
      </c>
      <c r="J11" s="28">
        <f>I11/I17*100</f>
        <v>0</v>
      </c>
      <c r="K11" s="29">
        <f t="shared" si="2"/>
        <v>0</v>
      </c>
      <c r="L11" s="6">
        <v>98</v>
      </c>
      <c r="M11" s="6"/>
      <c r="N11" s="6"/>
      <c r="O11" s="6"/>
      <c r="P11" s="6"/>
      <c r="Q11" s="6">
        <v>0</v>
      </c>
      <c r="R11" s="29">
        <f t="shared" si="3"/>
        <v>0</v>
      </c>
      <c r="S11" s="31"/>
      <c r="T11" s="32" t="s">
        <v>54</v>
      </c>
      <c r="U11" s="47">
        <f>J5+J4</f>
        <v>31.120331950207468</v>
      </c>
      <c r="V11" s="38" t="s">
        <v>55</v>
      </c>
      <c r="W11" s="45">
        <f>SUM(W8:W10)</f>
        <v>654.89079130032405</v>
      </c>
      <c r="X11"/>
      <c r="Y11" s="45">
        <f>SUM(Y8:Y10)</f>
        <v>653.46983543839804</v>
      </c>
      <c r="Z11"/>
      <c r="AA11" s="45">
        <f>SUM(AA8:AA10)</f>
        <v>673.73421926910294</v>
      </c>
      <c r="AB11" s="18"/>
      <c r="AC11" s="18"/>
      <c r="AD11" s="42"/>
      <c r="AE11" s="18"/>
      <c r="AF11" s="18"/>
      <c r="AG11" s="18"/>
    </row>
    <row r="12" spans="1:33" ht="14.4" x14ac:dyDescent="0.3">
      <c r="A12" s="48">
        <f>+B12-H12</f>
        <v>-23.098999999999933</v>
      </c>
      <c r="B12" s="24">
        <v>660</v>
      </c>
      <c r="C12" s="25">
        <v>10</v>
      </c>
      <c r="D12" s="6" t="s">
        <v>56</v>
      </c>
      <c r="E12" s="49">
        <v>651.1389999999999</v>
      </c>
      <c r="F12" s="26">
        <v>261.95999999999998</v>
      </c>
      <c r="G12" s="27">
        <f>E12+F12</f>
        <v>913.09899999999993</v>
      </c>
      <c r="H12" s="49">
        <f>G12-I12</f>
        <v>683.09899999999993</v>
      </c>
      <c r="I12" s="46">
        <v>230</v>
      </c>
      <c r="J12" s="28">
        <f>I12/I17*100</f>
        <v>47.717842323651453</v>
      </c>
      <c r="K12" s="29">
        <f t="shared" si="2"/>
        <v>44.377593360995853</v>
      </c>
      <c r="L12" s="6">
        <v>93</v>
      </c>
      <c r="M12" s="36"/>
      <c r="N12" s="6"/>
      <c r="O12" s="6"/>
      <c r="P12" s="6"/>
      <c r="Q12" s="6">
        <v>48</v>
      </c>
      <c r="R12" s="29">
        <f t="shared" si="3"/>
        <v>0.28215767634854672</v>
      </c>
      <c r="S12" s="31" t="s">
        <v>57</v>
      </c>
      <c r="T12" s="32" t="s">
        <v>55</v>
      </c>
      <c r="U12" s="47">
        <f>U9+U10+U11</f>
        <v>653.46983543839804</v>
      </c>
      <c r="V12" s="38" t="s">
        <v>58</v>
      </c>
      <c r="W12" s="50">
        <v>16</v>
      </c>
      <c r="X12"/>
      <c r="Y12" s="50">
        <v>16</v>
      </c>
      <c r="Z12"/>
      <c r="AA12" s="50">
        <v>16</v>
      </c>
      <c r="AB12" s="18"/>
      <c r="AC12" s="18"/>
      <c r="AD12" s="42"/>
      <c r="AE12" s="18"/>
      <c r="AF12" s="18"/>
      <c r="AG12" s="18"/>
    </row>
    <row r="13" spans="1:33" ht="14.4" x14ac:dyDescent="0.3">
      <c r="A13" s="23">
        <f t="shared" si="0"/>
        <v>4.2399999999999984</v>
      </c>
      <c r="B13" s="24">
        <v>5</v>
      </c>
      <c r="C13" s="25">
        <v>11</v>
      </c>
      <c r="D13" s="6" t="s">
        <v>60</v>
      </c>
      <c r="E13" s="26">
        <v>12.760000000000002</v>
      </c>
      <c r="F13" s="26">
        <v>0</v>
      </c>
      <c r="G13" s="27">
        <f>E13+F13</f>
        <v>12.760000000000002</v>
      </c>
      <c r="H13" s="26">
        <f>G13-I13</f>
        <v>0.76000000000000156</v>
      </c>
      <c r="I13" s="27">
        <v>12</v>
      </c>
      <c r="J13" s="28">
        <f>I13/I17*100</f>
        <v>2.4896265560165975</v>
      </c>
      <c r="K13" s="29">
        <f t="shared" si="2"/>
        <v>1.7088796680497926</v>
      </c>
      <c r="L13" s="6">
        <v>68.64</v>
      </c>
      <c r="M13" s="24" t="s">
        <v>61</v>
      </c>
      <c r="N13" s="6">
        <v>12</v>
      </c>
      <c r="O13" s="6" t="s">
        <v>62</v>
      </c>
      <c r="P13" s="53"/>
      <c r="Q13" s="6">
        <v>2</v>
      </c>
      <c r="R13" s="29">
        <f t="shared" si="3"/>
        <v>-0.48962655601659755</v>
      </c>
      <c r="S13" s="31">
        <v>5</v>
      </c>
      <c r="T13" s="32" t="s">
        <v>58</v>
      </c>
      <c r="U13" s="24">
        <v>20</v>
      </c>
      <c r="V13" s="38" t="s">
        <v>63</v>
      </c>
      <c r="W13" s="34">
        <v>10060</v>
      </c>
      <c r="X13"/>
      <c r="Y13" s="34">
        <v>10670</v>
      </c>
      <c r="Z13"/>
      <c r="AA13" s="34">
        <v>12000</v>
      </c>
      <c r="AB13" s="18"/>
      <c r="AC13" s="18"/>
      <c r="AD13" s="42"/>
      <c r="AE13" s="18"/>
      <c r="AF13" s="18"/>
      <c r="AG13" s="18"/>
    </row>
    <row r="14" spans="1:33" ht="14.4" x14ac:dyDescent="0.3">
      <c r="A14" s="23">
        <f t="shared" si="0"/>
        <v>26.760000000000005</v>
      </c>
      <c r="B14" s="24">
        <v>66</v>
      </c>
      <c r="C14" s="25">
        <v>12</v>
      </c>
      <c r="D14" s="6" t="s">
        <v>64</v>
      </c>
      <c r="E14" s="26">
        <v>45.019999999999996</v>
      </c>
      <c r="F14" s="26">
        <v>14.22</v>
      </c>
      <c r="G14" s="27">
        <f>E14+F14</f>
        <v>59.239999999999995</v>
      </c>
      <c r="H14" s="26">
        <f t="shared" si="1"/>
        <v>39.239999999999995</v>
      </c>
      <c r="I14" s="27">
        <v>20</v>
      </c>
      <c r="J14" s="28">
        <f>I14/I17*100</f>
        <v>4.1493775933609953</v>
      </c>
      <c r="K14" s="29">
        <f>+J14*L14%</f>
        <v>4.0663900414937757</v>
      </c>
      <c r="L14" s="6">
        <v>98</v>
      </c>
      <c r="M14" s="6"/>
      <c r="N14" s="6"/>
      <c r="O14" s="6"/>
      <c r="P14" s="30"/>
      <c r="Q14" s="6">
        <v>3</v>
      </c>
      <c r="R14" s="29">
        <f t="shared" si="3"/>
        <v>-1.1493775933609953</v>
      </c>
      <c r="S14" s="31">
        <v>6</v>
      </c>
      <c r="T14" s="32" t="s">
        <v>63</v>
      </c>
      <c r="U14" s="24">
        <v>12000</v>
      </c>
      <c r="V14" s="38" t="s">
        <v>65</v>
      </c>
      <c r="W14" s="54">
        <v>0.92</v>
      </c>
      <c r="X14"/>
      <c r="Y14" s="54">
        <v>0.92</v>
      </c>
      <c r="Z14"/>
      <c r="AA14" s="54">
        <v>0.92</v>
      </c>
      <c r="AB14" s="18"/>
      <c r="AC14" s="18"/>
      <c r="AD14" s="42"/>
      <c r="AE14" s="18"/>
      <c r="AF14" s="18"/>
      <c r="AG14" s="18"/>
    </row>
    <row r="15" spans="1:33" ht="14.4" x14ac:dyDescent="0.3">
      <c r="A15" s="23">
        <f t="shared" si="0"/>
        <v>0</v>
      </c>
      <c r="B15" s="24">
        <v>0</v>
      </c>
      <c r="C15" s="25">
        <v>13</v>
      </c>
      <c r="D15" s="6" t="s">
        <v>1</v>
      </c>
      <c r="E15" s="26">
        <v>0</v>
      </c>
      <c r="F15" s="26">
        <v>0</v>
      </c>
      <c r="G15" s="27">
        <f>E15+F15</f>
        <v>0</v>
      </c>
      <c r="H15" s="26">
        <f>G15-I15</f>
        <v>0</v>
      </c>
      <c r="I15" s="27">
        <v>0</v>
      </c>
      <c r="J15" s="28">
        <f>I15/I17*100</f>
        <v>0</v>
      </c>
      <c r="K15" s="29">
        <f>J15*L15</f>
        <v>0</v>
      </c>
      <c r="L15" s="55">
        <v>0.98</v>
      </c>
      <c r="M15" s="6"/>
      <c r="N15" s="6"/>
      <c r="O15" s="6"/>
      <c r="P15" s="30"/>
      <c r="Q15" s="6"/>
      <c r="R15" s="29"/>
      <c r="S15" s="31"/>
      <c r="T15" s="32"/>
      <c r="U15" s="24"/>
      <c r="V15" s="38"/>
      <c r="W15" s="54"/>
      <c r="X15"/>
      <c r="Y15" s="54"/>
      <c r="Z15"/>
      <c r="AA15" s="54"/>
      <c r="AB15" s="18"/>
      <c r="AC15" s="18"/>
      <c r="AD15" s="42"/>
      <c r="AE15" s="18"/>
      <c r="AF15" s="18"/>
      <c r="AG15" s="18"/>
    </row>
    <row r="16" spans="1:33" ht="14.4" x14ac:dyDescent="0.3">
      <c r="A16" s="23">
        <f>+B16-H16</f>
        <v>-0.71999999999999975</v>
      </c>
      <c r="B16" s="24">
        <v>3</v>
      </c>
      <c r="C16" s="25">
        <v>14</v>
      </c>
      <c r="D16" s="6" t="s">
        <v>66</v>
      </c>
      <c r="E16" s="26">
        <v>3.7199999999999998</v>
      </c>
      <c r="F16" s="26">
        <v>0</v>
      </c>
      <c r="G16" s="27">
        <f t="shared" si="4"/>
        <v>3.7199999999999998</v>
      </c>
      <c r="H16" s="26">
        <f t="shared" si="1"/>
        <v>3.7199999999999998</v>
      </c>
      <c r="I16" s="27">
        <v>0</v>
      </c>
      <c r="J16" s="28">
        <f>I16/I17*100</f>
        <v>0</v>
      </c>
      <c r="K16" s="29">
        <f>+J16*L16%</f>
        <v>0</v>
      </c>
      <c r="L16" s="6">
        <v>94</v>
      </c>
      <c r="M16" s="8" t="s">
        <v>67</v>
      </c>
      <c r="N16" s="6" t="s">
        <v>68</v>
      </c>
      <c r="O16" s="36" t="s">
        <v>69</v>
      </c>
      <c r="P16" s="6"/>
      <c r="Q16" s="6"/>
      <c r="R16" s="29"/>
      <c r="S16" s="31">
        <v>7</v>
      </c>
      <c r="T16" s="32" t="s">
        <v>65</v>
      </c>
      <c r="U16" s="56">
        <v>0.9</v>
      </c>
      <c r="V16" s="57" t="s">
        <v>70</v>
      </c>
      <c r="W16" s="58">
        <f>(W13*W14)/(W11-W10)</f>
        <v>14.577625202350729</v>
      </c>
      <c r="X16"/>
      <c r="Y16" s="58">
        <f>(Y13*Y14)/(Y11-Y10)</f>
        <v>15.773130604234943</v>
      </c>
      <c r="Z16"/>
      <c r="AA16" s="58">
        <f>(AA13*AA14)/(AA11-AA10)</f>
        <v>17.017754994392352</v>
      </c>
      <c r="AB16" s="18"/>
      <c r="AC16" s="18"/>
      <c r="AD16" s="42"/>
      <c r="AE16" s="18"/>
      <c r="AF16" s="18"/>
      <c r="AG16" s="18"/>
    </row>
    <row r="17" spans="1:33" ht="14.4" x14ac:dyDescent="0.3">
      <c r="A17" s="59">
        <f>+B17-H17</f>
        <v>101.77600000000007</v>
      </c>
      <c r="B17" s="6">
        <f>SUM(B3:B14)+B16</f>
        <v>1949</v>
      </c>
      <c r="C17" s="8"/>
      <c r="D17" s="6" t="s">
        <v>10</v>
      </c>
      <c r="E17" s="26">
        <f>SUM(E3:E16)</f>
        <v>1839.5639999999999</v>
      </c>
      <c r="F17" s="27">
        <f>SUM(F3:F16)</f>
        <v>489.65999999999997</v>
      </c>
      <c r="G17" s="27">
        <f>E17+F17</f>
        <v>2329.2239999999997</v>
      </c>
      <c r="H17" s="26">
        <f>SUM(H3:H16)</f>
        <v>1847.2239999999999</v>
      </c>
      <c r="I17" s="27">
        <f>SUM(I3:I16)</f>
        <v>482</v>
      </c>
      <c r="J17" s="28">
        <f>SUM(J3:J16)</f>
        <v>100</v>
      </c>
      <c r="K17" s="29">
        <f>SUM(K3:K16)</f>
        <v>86.040622406639002</v>
      </c>
      <c r="L17" s="6"/>
      <c r="M17" s="30">
        <f>+O2/I17*100</f>
        <v>86.39107883817428</v>
      </c>
      <c r="N17" s="60">
        <f>+K17</f>
        <v>86.040622406639002</v>
      </c>
      <c r="O17" s="27">
        <f>+M17-N17</f>
        <v>0.35045643153527806</v>
      </c>
      <c r="P17" s="36">
        <f>1036+27</f>
        <v>1063</v>
      </c>
      <c r="Q17" s="6">
        <f>SUM(Q3:Q16)</f>
        <v>100</v>
      </c>
      <c r="R17" s="29">
        <f t="shared" si="3"/>
        <v>0</v>
      </c>
      <c r="S17" s="31">
        <v>8</v>
      </c>
      <c r="T17" s="32" t="s">
        <v>70</v>
      </c>
      <c r="U17" s="61">
        <f>(U14*U16)/(U12-U11)</f>
        <v>17.353593020428814</v>
      </c>
      <c r="V17" s="38" t="s">
        <v>71</v>
      </c>
      <c r="W17" s="50">
        <v>34</v>
      </c>
      <c r="X17"/>
      <c r="Y17" s="50">
        <v>34</v>
      </c>
      <c r="Z17"/>
      <c r="AA17" s="50">
        <v>34</v>
      </c>
      <c r="AB17" s="18"/>
      <c r="AC17" s="18"/>
      <c r="AD17" s="18"/>
      <c r="AE17" s="18"/>
      <c r="AF17" s="18"/>
      <c r="AG17" s="18"/>
    </row>
    <row r="18" spans="1:33" ht="14.4" x14ac:dyDescent="0.3">
      <c r="A18" s="62"/>
      <c r="B18" s="63">
        <f>+H17-B17</f>
        <v>-101.77600000000007</v>
      </c>
      <c r="C18" s="8"/>
      <c r="D18" s="6"/>
      <c r="E18" s="26"/>
      <c r="F18" s="27"/>
      <c r="G18" s="27"/>
      <c r="H18" s="26"/>
      <c r="I18" s="27"/>
      <c r="J18" s="28" t="s">
        <v>72</v>
      </c>
      <c r="K18" s="64">
        <f>P2/M3</f>
        <v>1.4529124290054155E-2</v>
      </c>
      <c r="L18" s="6"/>
      <c r="M18" s="30"/>
      <c r="N18" s="60"/>
      <c r="O18" s="27"/>
      <c r="P18" s="36">
        <f>+P17-P19</f>
        <v>336.94100000000003</v>
      </c>
      <c r="Q18" s="6"/>
      <c r="R18" s="29"/>
      <c r="S18" s="31"/>
      <c r="T18" s="32"/>
      <c r="U18" s="61"/>
      <c r="V18" s="38"/>
      <c r="W18" s="50"/>
      <c r="X18"/>
      <c r="Y18" s="50"/>
      <c r="Z18"/>
      <c r="AA18" s="50"/>
      <c r="AB18" s="18"/>
      <c r="AC18" s="18"/>
      <c r="AD18" s="18"/>
      <c r="AE18" s="18"/>
      <c r="AF18" s="18"/>
      <c r="AG18" s="18"/>
    </row>
    <row r="19" spans="1:33" ht="23.4" x14ac:dyDescent="0.45">
      <c r="A19" s="6">
        <f>B3+B4+B5+B13</f>
        <v>812</v>
      </c>
      <c r="B19" s="6">
        <f>B12+B14+B16</f>
        <v>729</v>
      </c>
      <c r="C19" s="8"/>
      <c r="D19" s="6" t="s">
        <v>73</v>
      </c>
      <c r="E19" s="27">
        <v>0</v>
      </c>
      <c r="F19" s="27">
        <v>0</v>
      </c>
      <c r="G19" s="27">
        <f>+E19+F19</f>
        <v>0</v>
      </c>
      <c r="H19" s="27">
        <f>G19-I19</f>
        <v>0</v>
      </c>
      <c r="I19" s="27">
        <f>F19</f>
        <v>0</v>
      </c>
      <c r="J19" s="65"/>
      <c r="K19" s="29"/>
      <c r="L19" s="6" t="s">
        <v>74</v>
      </c>
      <c r="M19" s="25" t="s">
        <v>75</v>
      </c>
      <c r="N19" s="66">
        <f>H3+H4+H5+H13+H10</f>
        <v>774.79</v>
      </c>
      <c r="O19" s="65" t="s">
        <v>76</v>
      </c>
      <c r="P19" s="67">
        <f>H12+H14+H16</f>
        <v>726.05899999999997</v>
      </c>
      <c r="Q19" s="27">
        <f>+P19+N19</f>
        <v>1500.8489999999999</v>
      </c>
      <c r="R19" s="68"/>
      <c r="S19" s="31">
        <v>9</v>
      </c>
      <c r="T19" s="32" t="s">
        <v>71</v>
      </c>
      <c r="U19" s="24">
        <v>34</v>
      </c>
      <c r="V19" s="38" t="s">
        <v>77</v>
      </c>
      <c r="W19" s="69">
        <f>W17*60/W16</f>
        <v>139.94048904968676</v>
      </c>
      <c r="X19"/>
      <c r="Y19" s="69">
        <f>Y17*60/Y16</f>
        <v>129.33386853794758</v>
      </c>
      <c r="Z19"/>
      <c r="AA19" s="69">
        <f>AA17*60/AA16</f>
        <v>119.87480138668207</v>
      </c>
      <c r="AB19" s="18"/>
      <c r="AC19" s="18"/>
      <c r="AD19" s="18"/>
      <c r="AE19" s="18"/>
      <c r="AF19" s="18"/>
      <c r="AG19" s="18"/>
    </row>
    <row r="20" spans="1:33" ht="14.4" x14ac:dyDescent="0.3">
      <c r="A20" s="63">
        <f>A19-N19</f>
        <v>37.210000000000036</v>
      </c>
      <c r="B20" s="70">
        <f>B19-P19</f>
        <v>2.9410000000000309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31">
        <v>10</v>
      </c>
      <c r="T20" s="32" t="s">
        <v>77</v>
      </c>
      <c r="U20" s="71">
        <f>U19*60/U17</f>
        <v>117.55490621443597</v>
      </c>
      <c r="V20" s="57" t="s">
        <v>78</v>
      </c>
      <c r="W20" s="72">
        <v>5</v>
      </c>
      <c r="X20"/>
      <c r="Y20" s="72">
        <v>12</v>
      </c>
      <c r="Z20"/>
      <c r="AA20" s="72">
        <v>15</v>
      </c>
      <c r="AB20" s="18"/>
      <c r="AC20" s="18"/>
      <c r="AD20" s="18"/>
      <c r="AE20" s="18"/>
      <c r="AF20" s="18"/>
      <c r="AG20" s="18"/>
    </row>
    <row r="21" spans="1:33" ht="42" x14ac:dyDescent="0.3">
      <c r="A21" s="73"/>
      <c r="B21" s="74"/>
      <c r="C21" s="74"/>
      <c r="H21" s="2"/>
      <c r="S21" s="8">
        <v>11</v>
      </c>
      <c r="T21" s="32" t="s">
        <v>78</v>
      </c>
      <c r="U21" s="75">
        <v>6</v>
      </c>
      <c r="V21" s="57" t="s">
        <v>79</v>
      </c>
      <c r="W21" s="72">
        <f>W20+W19</f>
        <v>144.94048904968676</v>
      </c>
      <c r="X21"/>
      <c r="Y21" s="72">
        <f>Y20+Y19</f>
        <v>141.33386853794758</v>
      </c>
      <c r="Z21"/>
      <c r="AA21" s="72">
        <f>AA20+AA19</f>
        <v>134.87480138668207</v>
      </c>
      <c r="AB21" s="18"/>
      <c r="AC21" s="18"/>
      <c r="AD21" s="18"/>
      <c r="AE21" s="18"/>
      <c r="AF21" s="18"/>
      <c r="AG21" s="18"/>
    </row>
    <row r="22" spans="1:33" s="82" customFormat="1" ht="14.4" x14ac:dyDescent="0.3">
      <c r="A22" s="76"/>
      <c r="B22" s="77">
        <f>A12+A16</f>
        <v>-23.818999999999932</v>
      </c>
      <c r="C22" s="78"/>
      <c r="D22" s="2"/>
      <c r="E22" s="79">
        <f>H12+H14+H16</f>
        <v>726.05899999999997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6">
        <v>12</v>
      </c>
      <c r="T22" s="32" t="s">
        <v>79</v>
      </c>
      <c r="U22" s="71">
        <f>U21+U20</f>
        <v>123.55490621443597</v>
      </c>
      <c r="V22" s="38" t="s">
        <v>80</v>
      </c>
      <c r="W22" s="80">
        <f>24*60/W21</f>
        <v>9.9351120548955549</v>
      </c>
      <c r="X22"/>
      <c r="Y22" s="80">
        <f>24*60/Y21</f>
        <v>10.188640662682815</v>
      </c>
      <c r="Z22"/>
      <c r="AA22" s="80">
        <f>24*60/AA21</f>
        <v>10.676568085327983</v>
      </c>
      <c r="AB22" s="81"/>
      <c r="AC22" s="81"/>
      <c r="AD22" s="81"/>
      <c r="AE22" s="81"/>
      <c r="AF22" s="81"/>
      <c r="AG22" s="81"/>
    </row>
    <row r="23" spans="1:33" ht="14.4" x14ac:dyDescent="0.3">
      <c r="A23" s="83"/>
      <c r="B23" s="84"/>
      <c r="C23" s="84"/>
      <c r="E23" s="2">
        <f>B12+B14+B16</f>
        <v>729</v>
      </c>
      <c r="H23" s="2"/>
      <c r="S23" s="6">
        <v>13</v>
      </c>
      <c r="T23" s="32" t="s">
        <v>80</v>
      </c>
      <c r="U23" s="85">
        <f>24*60/U22</f>
        <v>11.654737509984468</v>
      </c>
      <c r="V23" s="57" t="s">
        <v>81</v>
      </c>
      <c r="W23" s="86">
        <f>W22*W17</f>
        <v>337.7938098664489</v>
      </c>
      <c r="X23"/>
      <c r="Y23" s="86">
        <f>Y22*Y17</f>
        <v>346.4137825312157</v>
      </c>
      <c r="Z23"/>
      <c r="AA23" s="86">
        <f>AA22*AA17</f>
        <v>363.00331490115138</v>
      </c>
      <c r="AB23" s="18"/>
      <c r="AC23" s="18"/>
      <c r="AD23" s="18"/>
      <c r="AE23" s="18"/>
      <c r="AF23" s="18"/>
      <c r="AG23" s="18"/>
    </row>
    <row r="24" spans="1:33" ht="15" thickBot="1" x14ac:dyDescent="0.35">
      <c r="A24" s="73"/>
      <c r="B24" s="74"/>
      <c r="C24" s="87"/>
      <c r="E24" s="79">
        <f>E23-E22</f>
        <v>2.9410000000000309</v>
      </c>
      <c r="H24" s="2"/>
      <c r="S24" s="6">
        <v>14</v>
      </c>
      <c r="T24" s="88" t="s">
        <v>81</v>
      </c>
      <c r="U24" s="89">
        <f>U23*U19</f>
        <v>396.26107533947192</v>
      </c>
      <c r="V24" s="57" t="s">
        <v>82</v>
      </c>
      <c r="W24" s="3">
        <v>65</v>
      </c>
      <c r="X24"/>
      <c r="Y24" s="90">
        <f>+W23*W24/Y23</f>
        <v>63.382575256920234</v>
      </c>
      <c r="Z24" s="91"/>
      <c r="AA24" s="90">
        <f>+Y23*Y24/AA23</f>
        <v>60.485942524514222</v>
      </c>
      <c r="AB24" s="18"/>
      <c r="AC24" s="18"/>
      <c r="AD24" s="18"/>
      <c r="AE24" s="18"/>
      <c r="AF24" s="18"/>
      <c r="AG24" s="18"/>
    </row>
    <row r="25" spans="1:33" ht="13.8" x14ac:dyDescent="0.3">
      <c r="A25" s="83"/>
      <c r="B25" s="92"/>
      <c r="C25" s="87"/>
      <c r="H25" s="2"/>
      <c r="S25" s="18"/>
      <c r="T25" s="93"/>
      <c r="U25" s="94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1:33" ht="13.8" x14ac:dyDescent="0.3">
      <c r="A26" s="83"/>
      <c r="B26" s="95"/>
      <c r="C26" s="87"/>
      <c r="H26" s="2"/>
      <c r="S26" s="18"/>
      <c r="T26" s="81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 x14ac:dyDescent="0.2">
      <c r="C27" s="81"/>
      <c r="S27" s="18"/>
      <c r="T27" s="81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 x14ac:dyDescent="0.2">
      <c r="C28" s="81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</sheetData>
  <mergeCells count="3">
    <mergeCell ref="A1:N1"/>
    <mergeCell ref="T1:U1"/>
    <mergeCell ref="C20:R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F2A1-752B-4512-94E6-20822C4B07EF}">
  <dimension ref="A1:AG28"/>
  <sheetViews>
    <sheetView zoomScale="146" zoomScaleNormal="146" workbookViewId="0">
      <selection activeCell="H17" sqref="H17"/>
    </sheetView>
  </sheetViews>
  <sheetFormatPr defaultColWidth="9.109375" defaultRowHeight="10.199999999999999" x14ac:dyDescent="0.2"/>
  <cols>
    <col min="1" max="1" width="14.109375" style="2" bestFit="1" customWidth="1"/>
    <col min="2" max="2" width="7.88671875" style="2" bestFit="1" customWidth="1"/>
    <col min="3" max="3" width="8.44140625" style="82" bestFit="1" customWidth="1"/>
    <col min="4" max="4" width="17.5546875" style="2" bestFit="1" customWidth="1"/>
    <col min="5" max="5" width="10.88671875" style="2" bestFit="1" customWidth="1"/>
    <col min="6" max="6" width="7.33203125" style="2" bestFit="1" customWidth="1"/>
    <col min="7" max="7" width="9.109375" style="2"/>
    <col min="8" max="8" width="10" style="82" customWidth="1"/>
    <col min="9" max="9" width="9.5546875" style="2" bestFit="1" customWidth="1"/>
    <col min="10" max="10" width="10.44140625" style="2" bestFit="1" customWidth="1"/>
    <col min="11" max="11" width="12" style="2" customWidth="1"/>
    <col min="12" max="12" width="10.109375" style="2" bestFit="1" customWidth="1"/>
    <col min="13" max="13" width="10.5546875" style="2" bestFit="1" customWidth="1"/>
    <col min="14" max="14" width="15" style="2" customWidth="1"/>
    <col min="15" max="15" width="12.109375" style="2" customWidth="1"/>
    <col min="16" max="16" width="15.33203125" style="2" customWidth="1"/>
    <col min="17" max="17" width="7.44140625" style="2" bestFit="1" customWidth="1"/>
    <col min="18" max="18" width="7.6640625" style="2" customWidth="1"/>
    <col min="19" max="19" width="5.33203125" style="2" bestFit="1" customWidth="1"/>
    <col min="20" max="20" width="27.5546875" style="82" customWidth="1"/>
    <col min="21" max="21" width="11.44140625" style="2" bestFit="1" customWidth="1"/>
    <col min="22" max="22" width="30.88671875" style="2" customWidth="1"/>
    <col min="23" max="23" width="11.44140625" style="2" bestFit="1" customWidth="1"/>
    <col min="24" max="24" width="6.109375" style="2" bestFit="1" customWidth="1"/>
    <col min="25" max="25" width="11.44140625" style="2" bestFit="1" customWidth="1"/>
    <col min="26" max="26" width="5.44140625" style="2" bestFit="1" customWidth="1"/>
    <col min="27" max="27" width="11.44140625" style="2" bestFit="1" customWidth="1"/>
    <col min="28" max="28" width="6.6640625" style="2" bestFit="1" customWidth="1"/>
    <col min="29" max="29" width="5.5546875" style="2" bestFit="1" customWidth="1"/>
    <col min="30" max="30" width="7" style="2" bestFit="1" customWidth="1"/>
    <col min="31" max="31" width="4.44140625" style="2" bestFit="1" customWidth="1"/>
    <col min="32" max="16384" width="9.109375" style="2"/>
  </cols>
  <sheetData>
    <row r="1" spans="1:33" ht="15" thickBot="1" x14ac:dyDescent="0.35">
      <c r="A1" s="96" t="s">
        <v>88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1" t="s">
        <v>0</v>
      </c>
      <c r="P1" s="1" t="s">
        <v>1</v>
      </c>
      <c r="Q1" s="1"/>
      <c r="R1" s="1"/>
      <c r="T1" s="97" t="s">
        <v>2</v>
      </c>
      <c r="U1" s="98"/>
      <c r="V1" s="3" t="s">
        <v>3</v>
      </c>
      <c r="W1" s="4">
        <v>0.5</v>
      </c>
      <c r="X1"/>
      <c r="Y1" s="5">
        <v>0.4</v>
      </c>
      <c r="Z1"/>
      <c r="AA1" s="5">
        <v>0.3</v>
      </c>
    </row>
    <row r="2" spans="1:33" ht="14.4" x14ac:dyDescent="0.3">
      <c r="A2" s="6" t="s">
        <v>4</v>
      </c>
      <c r="B2" s="7" t="s">
        <v>5</v>
      </c>
      <c r="C2" s="8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8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9" t="s">
        <v>17</v>
      </c>
      <c r="O2" s="10">
        <v>410.06799999999998</v>
      </c>
      <c r="P2" s="11">
        <v>6.07</v>
      </c>
      <c r="Q2" s="6" t="s">
        <v>18</v>
      </c>
      <c r="R2" s="6" t="s">
        <v>19</v>
      </c>
      <c r="S2" s="12" t="s">
        <v>20</v>
      </c>
      <c r="T2" s="13" t="s">
        <v>21</v>
      </c>
      <c r="U2" s="14" t="s">
        <v>22</v>
      </c>
      <c r="V2" s="15" t="s">
        <v>21</v>
      </c>
      <c r="W2" s="16" t="s">
        <v>22</v>
      </c>
      <c r="X2"/>
      <c r="Y2" s="17" t="s">
        <v>22</v>
      </c>
      <c r="Z2"/>
      <c r="AA2" s="17" t="s">
        <v>22</v>
      </c>
      <c r="AB2" s="18"/>
      <c r="AC2" s="18"/>
      <c r="AD2" s="19"/>
      <c r="AE2" s="20"/>
      <c r="AF2" s="21"/>
      <c r="AG2" s="22"/>
    </row>
    <row r="3" spans="1:33" ht="14.4" x14ac:dyDescent="0.3">
      <c r="A3" s="23">
        <f>+B3-H3</f>
        <v>20.779999999999973</v>
      </c>
      <c r="B3" s="24">
        <v>411</v>
      </c>
      <c r="C3" s="25">
        <v>1</v>
      </c>
      <c r="D3" s="6" t="s">
        <v>23</v>
      </c>
      <c r="E3" s="26">
        <v>385.74</v>
      </c>
      <c r="F3" s="26">
        <v>79.48</v>
      </c>
      <c r="G3" s="27">
        <f>E3+F3</f>
        <v>465.22</v>
      </c>
      <c r="H3" s="26">
        <f>G3-I3</f>
        <v>390.22</v>
      </c>
      <c r="I3" s="27">
        <v>75</v>
      </c>
      <c r="J3" s="28">
        <f>I3/I17*100</f>
        <v>15.789473684210526</v>
      </c>
      <c r="K3" s="29">
        <f>+J3*L3%</f>
        <v>12.690000000000001</v>
      </c>
      <c r="L3" s="30">
        <v>80.37</v>
      </c>
      <c r="M3" s="27">
        <v>416.40499999999997</v>
      </c>
      <c r="N3" s="28">
        <f>U24</f>
        <v>395.81089549657344</v>
      </c>
      <c r="O3" s="30" t="s">
        <v>24</v>
      </c>
      <c r="P3" s="27" t="s">
        <v>25</v>
      </c>
      <c r="Q3" s="6">
        <v>16</v>
      </c>
      <c r="R3" s="29">
        <f>Q3-J3</f>
        <v>0.21052631578947434</v>
      </c>
      <c r="S3" s="31"/>
      <c r="T3" s="32" t="s">
        <v>26</v>
      </c>
      <c r="U3" s="24">
        <v>30</v>
      </c>
      <c r="V3" s="33" t="s">
        <v>26</v>
      </c>
      <c r="W3" s="34">
        <v>30</v>
      </c>
      <c r="X3"/>
      <c r="Y3" s="34">
        <v>30</v>
      </c>
      <c r="Z3"/>
      <c r="AA3" s="34">
        <v>30</v>
      </c>
      <c r="AB3" s="18"/>
      <c r="AC3" s="18"/>
      <c r="AD3" s="18"/>
      <c r="AE3" s="35"/>
      <c r="AF3" s="18"/>
      <c r="AG3" s="18"/>
    </row>
    <row r="4" spans="1:33" ht="14.4" x14ac:dyDescent="0.3">
      <c r="A4" s="23">
        <f t="shared" ref="A4:A15" si="0">+B4-H4</f>
        <v>-6.8999999999999773</v>
      </c>
      <c r="B4" s="24">
        <v>273</v>
      </c>
      <c r="C4" s="25">
        <v>2</v>
      </c>
      <c r="D4" s="6" t="s">
        <v>27</v>
      </c>
      <c r="E4" s="26">
        <v>276.90999999999997</v>
      </c>
      <c r="F4" s="26">
        <v>47.99</v>
      </c>
      <c r="G4" s="27">
        <f>E4+F4</f>
        <v>324.89999999999998</v>
      </c>
      <c r="H4" s="26">
        <f t="shared" ref="H4:H16" si="1">G4-I4</f>
        <v>279.89999999999998</v>
      </c>
      <c r="I4" s="27">
        <v>45</v>
      </c>
      <c r="J4" s="28">
        <f>I4/I17*100</f>
        <v>9.4736842105263168</v>
      </c>
      <c r="K4" s="29">
        <f t="shared" ref="K4:K13" si="2">+J4*L4%</f>
        <v>7.0834736842105261</v>
      </c>
      <c r="L4" s="30">
        <v>74.77</v>
      </c>
      <c r="M4" s="6" t="s">
        <v>28</v>
      </c>
      <c r="N4" s="6" t="s">
        <v>29</v>
      </c>
      <c r="O4" s="36">
        <v>265167</v>
      </c>
      <c r="P4" s="36">
        <v>22547</v>
      </c>
      <c r="Q4" s="6">
        <v>13</v>
      </c>
      <c r="R4" s="29">
        <f t="shared" ref="R4:R17" si="3">Q4-J4</f>
        <v>3.5263157894736832</v>
      </c>
      <c r="S4" s="31">
        <v>1</v>
      </c>
      <c r="T4" s="32" t="s">
        <v>30</v>
      </c>
      <c r="U4" s="37">
        <f>M17</f>
        <v>86.33010526315789</v>
      </c>
      <c r="V4" s="38" t="s">
        <v>30</v>
      </c>
      <c r="W4" s="39">
        <v>86.44</v>
      </c>
      <c r="X4"/>
      <c r="Y4" s="39">
        <f>U4</f>
        <v>86.33010526315789</v>
      </c>
      <c r="Z4"/>
      <c r="AA4" s="39">
        <v>84.28</v>
      </c>
      <c r="AB4" s="18"/>
      <c r="AC4" s="18"/>
      <c r="AD4" s="18"/>
      <c r="AE4" s="18"/>
      <c r="AF4" s="18"/>
      <c r="AG4" s="18"/>
    </row>
    <row r="5" spans="1:33" ht="14.4" x14ac:dyDescent="0.3">
      <c r="A5" s="23">
        <f t="shared" si="0"/>
        <v>28.139999999999986</v>
      </c>
      <c r="B5" s="24">
        <v>160</v>
      </c>
      <c r="C5" s="25">
        <v>3</v>
      </c>
      <c r="D5" s="6" t="s">
        <v>31</v>
      </c>
      <c r="E5" s="26">
        <v>111.38</v>
      </c>
      <c r="F5" s="26">
        <v>120.48</v>
      </c>
      <c r="G5" s="27">
        <f>E5+F5</f>
        <v>231.86</v>
      </c>
      <c r="H5" s="26">
        <f t="shared" si="1"/>
        <v>131.86000000000001</v>
      </c>
      <c r="I5" s="27">
        <v>100</v>
      </c>
      <c r="J5" s="28">
        <f>I5/I17*100</f>
        <v>21.052631578947366</v>
      </c>
      <c r="K5" s="29">
        <f t="shared" si="2"/>
        <v>16.614736842105263</v>
      </c>
      <c r="L5" s="30">
        <v>78.92</v>
      </c>
      <c r="M5" s="36">
        <f>O4/O2</f>
        <v>646.64153262385753</v>
      </c>
      <c r="N5" s="36">
        <f>+U12</f>
        <v>653.61978321438858</v>
      </c>
      <c r="O5" s="36">
        <f>+N5-M5</f>
        <v>6.9782505905310472</v>
      </c>
      <c r="P5" s="36">
        <f>+P4/O2</f>
        <v>54.983563701629976</v>
      </c>
      <c r="Q5" s="6">
        <v>18</v>
      </c>
      <c r="R5" s="29">
        <f t="shared" si="3"/>
        <v>-3.0526315789473664</v>
      </c>
      <c r="S5" s="31"/>
      <c r="T5" s="32" t="s">
        <v>32</v>
      </c>
      <c r="U5" s="40" t="s">
        <v>33</v>
      </c>
      <c r="V5" s="38" t="s">
        <v>32</v>
      </c>
      <c r="W5" s="41" t="s">
        <v>33</v>
      </c>
      <c r="X5"/>
      <c r="Y5" s="41" t="s">
        <v>33</v>
      </c>
      <c r="Z5"/>
      <c r="AA5" s="41" t="s">
        <v>33</v>
      </c>
      <c r="AB5" s="18"/>
      <c r="AC5" s="18"/>
      <c r="AD5" s="42"/>
      <c r="AE5" s="18"/>
      <c r="AF5" s="18"/>
      <c r="AG5" s="18"/>
    </row>
    <row r="6" spans="1:33" ht="14.4" x14ac:dyDescent="0.3">
      <c r="A6" s="23">
        <f t="shared" si="0"/>
        <v>36.449999999999989</v>
      </c>
      <c r="B6" s="24">
        <v>351</v>
      </c>
      <c r="C6" s="25">
        <v>4</v>
      </c>
      <c r="D6" s="6" t="s">
        <v>34</v>
      </c>
      <c r="E6" s="26">
        <v>314.55</v>
      </c>
      <c r="F6" s="26">
        <v>0</v>
      </c>
      <c r="G6" s="27">
        <f t="shared" ref="G6:G16" si="4">E6+F6</f>
        <v>314.55</v>
      </c>
      <c r="H6" s="26">
        <f>G6-I6</f>
        <v>314.55</v>
      </c>
      <c r="I6" s="27">
        <v>0</v>
      </c>
      <c r="J6" s="28">
        <f>I6/I17*100</f>
        <v>0</v>
      </c>
      <c r="K6" s="29">
        <f t="shared" si="2"/>
        <v>0</v>
      </c>
      <c r="L6" s="6">
        <v>94</v>
      </c>
      <c r="M6" s="6" t="s">
        <v>35</v>
      </c>
      <c r="N6" s="6"/>
      <c r="O6" s="6" t="s">
        <v>36</v>
      </c>
      <c r="P6" s="6">
        <v>3917</v>
      </c>
      <c r="Q6" s="6">
        <v>0</v>
      </c>
      <c r="R6" s="29">
        <f t="shared" si="3"/>
        <v>0</v>
      </c>
      <c r="S6" s="31"/>
      <c r="T6" s="32" t="s">
        <v>37</v>
      </c>
      <c r="U6" s="40" t="s">
        <v>38</v>
      </c>
      <c r="V6" s="38" t="s">
        <v>37</v>
      </c>
      <c r="W6" s="41" t="s">
        <v>39</v>
      </c>
      <c r="X6"/>
      <c r="Y6" s="41" t="s">
        <v>39</v>
      </c>
      <c r="Z6"/>
      <c r="AA6" s="41" t="s">
        <v>39</v>
      </c>
      <c r="AB6" s="43"/>
      <c r="AC6" s="44"/>
      <c r="AD6" s="44"/>
      <c r="AE6" s="44"/>
      <c r="AF6" s="18"/>
      <c r="AG6" s="18"/>
    </row>
    <row r="7" spans="1:33" ht="14.4" x14ac:dyDescent="0.3">
      <c r="A7" s="23">
        <v>0</v>
      </c>
      <c r="B7" s="24">
        <v>0</v>
      </c>
      <c r="C7" s="25">
        <v>5</v>
      </c>
      <c r="D7" s="6" t="s">
        <v>40</v>
      </c>
      <c r="E7" s="26">
        <v>0</v>
      </c>
      <c r="F7" s="26">
        <v>0</v>
      </c>
      <c r="G7" s="27">
        <f t="shared" si="4"/>
        <v>0</v>
      </c>
      <c r="H7" s="26">
        <f t="shared" si="1"/>
        <v>0</v>
      </c>
      <c r="I7" s="27">
        <v>0</v>
      </c>
      <c r="J7" s="28">
        <f>I7/I17*100</f>
        <v>0</v>
      </c>
      <c r="K7" s="29">
        <f t="shared" si="2"/>
        <v>0</v>
      </c>
      <c r="L7" s="6">
        <v>88</v>
      </c>
      <c r="M7" s="36">
        <f>+P5+P8</f>
        <v>64.535637991747706</v>
      </c>
      <c r="N7" s="36">
        <v>67</v>
      </c>
      <c r="O7" s="36">
        <f>+N7-M7</f>
        <v>2.4643620082522943</v>
      </c>
      <c r="P7" s="36"/>
      <c r="Q7" s="6">
        <v>0</v>
      </c>
      <c r="R7" s="29">
        <f t="shared" si="3"/>
        <v>0</v>
      </c>
      <c r="S7" s="31">
        <v>2</v>
      </c>
      <c r="T7" s="32" t="s">
        <v>41</v>
      </c>
      <c r="U7" s="40">
        <v>455</v>
      </c>
      <c r="V7" s="38" t="s">
        <v>41</v>
      </c>
      <c r="W7" s="41">
        <v>465</v>
      </c>
      <c r="X7"/>
      <c r="Y7" s="41">
        <v>455</v>
      </c>
      <c r="Z7"/>
      <c r="AA7" s="41">
        <v>455</v>
      </c>
      <c r="AB7" s="18"/>
      <c r="AC7" s="18"/>
      <c r="AD7" s="42"/>
      <c r="AE7" s="18"/>
      <c r="AF7" s="18"/>
      <c r="AG7" s="18"/>
    </row>
    <row r="8" spans="1:33" ht="14.4" x14ac:dyDescent="0.3">
      <c r="A8" s="23">
        <f t="shared" si="0"/>
        <v>23.175000000000001</v>
      </c>
      <c r="B8" s="24">
        <v>55</v>
      </c>
      <c r="C8" s="25">
        <v>6</v>
      </c>
      <c r="D8" s="6" t="s">
        <v>42</v>
      </c>
      <c r="E8" s="26">
        <v>31.824999999999999</v>
      </c>
      <c r="F8" s="26">
        <v>0</v>
      </c>
      <c r="G8" s="27">
        <f t="shared" si="4"/>
        <v>31.824999999999999</v>
      </c>
      <c r="H8" s="26">
        <f t="shared" si="1"/>
        <v>31.824999999999999</v>
      </c>
      <c r="I8" s="27">
        <v>0</v>
      </c>
      <c r="J8" s="28">
        <f>I8/I17*100</f>
        <v>0</v>
      </c>
      <c r="K8" s="29">
        <f t="shared" si="2"/>
        <v>0</v>
      </c>
      <c r="L8" s="6">
        <v>90</v>
      </c>
      <c r="M8" s="30" t="s">
        <v>43</v>
      </c>
      <c r="N8" s="30" t="s">
        <v>44</v>
      </c>
      <c r="O8" s="6" t="s">
        <v>45</v>
      </c>
      <c r="P8" s="36">
        <f>+P6/O2</f>
        <v>9.5520742901177371</v>
      </c>
      <c r="Q8" s="6">
        <v>0</v>
      </c>
      <c r="R8" s="29">
        <f t="shared" si="3"/>
        <v>0</v>
      </c>
      <c r="S8" s="31"/>
      <c r="T8" s="32"/>
      <c r="U8" s="40"/>
      <c r="V8" s="38" t="s">
        <v>46</v>
      </c>
      <c r="W8" s="45">
        <f>((W7*(2-W4/100))/(W4/100))</f>
        <v>610.89079130032405</v>
      </c>
      <c r="X8"/>
      <c r="Y8" s="45">
        <f>((Y7*(2-Y4/100))/(Y4/100))</f>
        <v>599.09346742491493</v>
      </c>
      <c r="Z8"/>
      <c r="AA8" s="45">
        <f>((AA7*(2-AA4/100))/(AA4/100))</f>
        <v>624.73421926910294</v>
      </c>
      <c r="AB8" s="18"/>
      <c r="AC8" s="18"/>
      <c r="AD8" s="42"/>
      <c r="AE8" s="18"/>
      <c r="AF8" s="18"/>
      <c r="AG8" s="18"/>
    </row>
    <row r="9" spans="1:33" ht="14.4" x14ac:dyDescent="0.3">
      <c r="A9" s="23">
        <f t="shared" si="0"/>
        <v>0</v>
      </c>
      <c r="B9" s="24">
        <v>0</v>
      </c>
      <c r="C9" s="25">
        <v>7</v>
      </c>
      <c r="D9" s="6" t="s">
        <v>47</v>
      </c>
      <c r="E9" s="26">
        <v>0</v>
      </c>
      <c r="F9" s="26">
        <v>0</v>
      </c>
      <c r="G9" s="46">
        <f t="shared" si="4"/>
        <v>0</v>
      </c>
      <c r="H9" s="26">
        <f t="shared" si="1"/>
        <v>0</v>
      </c>
      <c r="I9" s="27">
        <v>0</v>
      </c>
      <c r="J9" s="28">
        <f>I9/I17*100</f>
        <v>0</v>
      </c>
      <c r="K9" s="29">
        <f t="shared" si="2"/>
        <v>0</v>
      </c>
      <c r="L9" s="6">
        <v>93</v>
      </c>
      <c r="M9" s="36">
        <f>+M5+M7</f>
        <v>711.17717061560529</v>
      </c>
      <c r="N9" s="36">
        <f>+N5+N7</f>
        <v>720.61978321438858</v>
      </c>
      <c r="O9" s="36">
        <f>+N9-M9</f>
        <v>9.4426125987832847</v>
      </c>
      <c r="P9" s="36"/>
      <c r="Q9" s="6">
        <v>0</v>
      </c>
      <c r="R9" s="29">
        <f t="shared" si="3"/>
        <v>0</v>
      </c>
      <c r="S9" s="31" t="s">
        <v>48</v>
      </c>
      <c r="T9" s="32" t="s">
        <v>46</v>
      </c>
      <c r="U9" s="47">
        <f>((U7*(2-U4/100))/(U4/100))</f>
        <v>599.09346742491493</v>
      </c>
      <c r="V9" s="38" t="s">
        <v>49</v>
      </c>
      <c r="W9" s="45">
        <v>24</v>
      </c>
      <c r="X9"/>
      <c r="Y9" s="45">
        <v>24</v>
      </c>
      <c r="Z9"/>
      <c r="AA9" s="45">
        <v>24</v>
      </c>
      <c r="AB9" s="18"/>
      <c r="AC9" s="18"/>
      <c r="AD9" s="42"/>
      <c r="AE9" s="18"/>
      <c r="AF9" s="18"/>
      <c r="AG9" s="18"/>
    </row>
    <row r="10" spans="1:33" ht="14.4" x14ac:dyDescent="0.3">
      <c r="A10" s="23">
        <f t="shared" si="0"/>
        <v>0</v>
      </c>
      <c r="B10" s="24">
        <v>0</v>
      </c>
      <c r="C10" s="25">
        <v>8</v>
      </c>
      <c r="D10" s="6" t="s">
        <v>50</v>
      </c>
      <c r="E10" s="26">
        <v>0</v>
      </c>
      <c r="F10" s="26">
        <v>0</v>
      </c>
      <c r="G10" s="27">
        <f t="shared" si="4"/>
        <v>0</v>
      </c>
      <c r="H10" s="26">
        <f t="shared" si="1"/>
        <v>0</v>
      </c>
      <c r="I10" s="27">
        <v>0</v>
      </c>
      <c r="J10" s="28">
        <f>I10/I17*100</f>
        <v>0</v>
      </c>
      <c r="K10" s="29">
        <f t="shared" si="2"/>
        <v>0</v>
      </c>
      <c r="L10" s="6">
        <v>70</v>
      </c>
      <c r="M10" s="6"/>
      <c r="N10" s="6"/>
      <c r="O10" s="6"/>
      <c r="P10" s="6"/>
      <c r="Q10" s="6">
        <v>0</v>
      </c>
      <c r="R10" s="29">
        <f t="shared" si="3"/>
        <v>0</v>
      </c>
      <c r="S10" s="31" t="s">
        <v>51</v>
      </c>
      <c r="T10" s="32" t="s">
        <v>49</v>
      </c>
      <c r="U10" s="47">
        <v>24</v>
      </c>
      <c r="V10" s="38" t="s">
        <v>52</v>
      </c>
      <c r="W10" s="45">
        <v>20</v>
      </c>
      <c r="X10"/>
      <c r="Y10" s="45">
        <f>U11</f>
        <v>30.526315789473685</v>
      </c>
      <c r="Z10"/>
      <c r="AA10" s="45">
        <v>25</v>
      </c>
      <c r="AB10" s="18"/>
      <c r="AC10" s="18"/>
      <c r="AD10" s="42"/>
      <c r="AE10" s="18"/>
      <c r="AF10" s="18"/>
      <c r="AG10" s="18"/>
    </row>
    <row r="11" spans="1:33" ht="14.4" x14ac:dyDescent="0.3">
      <c r="A11" s="23">
        <f t="shared" si="0"/>
        <v>5</v>
      </c>
      <c r="B11" s="24">
        <v>5</v>
      </c>
      <c r="C11" s="25">
        <v>9</v>
      </c>
      <c r="D11" s="6" t="s">
        <v>53</v>
      </c>
      <c r="E11" s="26">
        <v>0</v>
      </c>
      <c r="F11" s="26">
        <v>0</v>
      </c>
      <c r="G11" s="27">
        <f>E11+F11</f>
        <v>0</v>
      </c>
      <c r="H11" s="26">
        <f t="shared" si="1"/>
        <v>0</v>
      </c>
      <c r="I11" s="27">
        <v>0</v>
      </c>
      <c r="J11" s="28">
        <f>I11/I17*100</f>
        <v>0</v>
      </c>
      <c r="K11" s="29">
        <f t="shared" si="2"/>
        <v>0</v>
      </c>
      <c r="L11" s="6">
        <v>98</v>
      </c>
      <c r="M11" s="6"/>
      <c r="N11" s="6"/>
      <c r="O11" s="6"/>
      <c r="P11" s="6"/>
      <c r="Q11" s="6">
        <v>0</v>
      </c>
      <c r="R11" s="29">
        <f t="shared" si="3"/>
        <v>0</v>
      </c>
      <c r="S11" s="31"/>
      <c r="T11" s="32" t="s">
        <v>54</v>
      </c>
      <c r="U11" s="47">
        <f>J5+J4</f>
        <v>30.526315789473685</v>
      </c>
      <c r="V11" s="38" t="s">
        <v>55</v>
      </c>
      <c r="W11" s="45">
        <f>SUM(W8:W10)</f>
        <v>654.89079130032405</v>
      </c>
      <c r="X11"/>
      <c r="Y11" s="45">
        <f>SUM(Y8:Y10)</f>
        <v>653.61978321438858</v>
      </c>
      <c r="Z11"/>
      <c r="AA11" s="45">
        <f>SUM(AA8:AA10)</f>
        <v>673.73421926910294</v>
      </c>
      <c r="AB11" s="18"/>
      <c r="AC11" s="18"/>
      <c r="AD11" s="42"/>
      <c r="AE11" s="18"/>
      <c r="AF11" s="18"/>
      <c r="AG11" s="18"/>
    </row>
    <row r="12" spans="1:33" ht="14.4" x14ac:dyDescent="0.3">
      <c r="A12" s="48">
        <f>+B12-H12</f>
        <v>-35.148999999999887</v>
      </c>
      <c r="B12" s="24">
        <v>649</v>
      </c>
      <c r="C12" s="25">
        <v>10</v>
      </c>
      <c r="D12" s="6" t="s">
        <v>56</v>
      </c>
      <c r="E12" s="49">
        <v>683.09899999999993</v>
      </c>
      <c r="F12" s="26">
        <v>236.05</v>
      </c>
      <c r="G12" s="27">
        <f>E12+F12</f>
        <v>919.14899999999989</v>
      </c>
      <c r="H12" s="49">
        <f>G12-I12</f>
        <v>684.14899999999989</v>
      </c>
      <c r="I12" s="46">
        <v>235</v>
      </c>
      <c r="J12" s="28">
        <f>I12/I17*100</f>
        <v>49.473684210526315</v>
      </c>
      <c r="K12" s="29">
        <f t="shared" si="2"/>
        <v>46.010526315789477</v>
      </c>
      <c r="L12" s="6">
        <v>93</v>
      </c>
      <c r="M12" s="36"/>
      <c r="N12" s="6"/>
      <c r="O12" s="6"/>
      <c r="P12" s="6"/>
      <c r="Q12" s="6">
        <v>48</v>
      </c>
      <c r="R12" s="29">
        <f t="shared" si="3"/>
        <v>-1.473684210526315</v>
      </c>
      <c r="S12" s="31" t="s">
        <v>57</v>
      </c>
      <c r="T12" s="32" t="s">
        <v>55</v>
      </c>
      <c r="U12" s="47">
        <f>U9+U10+U11</f>
        <v>653.61978321438858</v>
      </c>
      <c r="V12" s="38" t="s">
        <v>58</v>
      </c>
      <c r="W12" s="50">
        <v>16</v>
      </c>
      <c r="X12"/>
      <c r="Y12" s="50">
        <v>16</v>
      </c>
      <c r="Z12"/>
      <c r="AA12" s="50">
        <v>16</v>
      </c>
      <c r="AB12" s="18"/>
      <c r="AC12" s="18"/>
      <c r="AD12" s="42"/>
      <c r="AE12" s="18"/>
      <c r="AF12" s="18"/>
      <c r="AG12" s="18"/>
    </row>
    <row r="13" spans="1:33" ht="14.4" x14ac:dyDescent="0.3">
      <c r="A13" s="23">
        <f t="shared" si="0"/>
        <v>4.0600000000000023</v>
      </c>
      <c r="B13" s="24">
        <v>29</v>
      </c>
      <c r="C13" s="25">
        <v>11</v>
      </c>
      <c r="D13" s="6" t="s">
        <v>60</v>
      </c>
      <c r="E13" s="26">
        <v>0.76000000000000156</v>
      </c>
      <c r="F13" s="26">
        <v>34.18</v>
      </c>
      <c r="G13" s="27">
        <f>E13+F13</f>
        <v>34.94</v>
      </c>
      <c r="H13" s="26">
        <f>G13-I13</f>
        <v>24.939999999999998</v>
      </c>
      <c r="I13" s="27">
        <v>10</v>
      </c>
      <c r="J13" s="28">
        <f>I13/I17*100</f>
        <v>2.1052631578947367</v>
      </c>
      <c r="K13" s="29">
        <f t="shared" si="2"/>
        <v>1.4450526315789474</v>
      </c>
      <c r="L13" s="6">
        <v>68.64</v>
      </c>
      <c r="M13" s="24" t="s">
        <v>61</v>
      </c>
      <c r="N13" s="6">
        <v>12</v>
      </c>
      <c r="O13" s="6" t="s">
        <v>62</v>
      </c>
      <c r="P13" s="53"/>
      <c r="Q13" s="6">
        <v>2</v>
      </c>
      <c r="R13" s="29">
        <f t="shared" si="3"/>
        <v>-0.10526315789473673</v>
      </c>
      <c r="S13" s="31">
        <v>5</v>
      </c>
      <c r="T13" s="32" t="s">
        <v>58</v>
      </c>
      <c r="U13" s="24">
        <v>20</v>
      </c>
      <c r="V13" s="38" t="s">
        <v>63</v>
      </c>
      <c r="W13" s="34">
        <v>10060</v>
      </c>
      <c r="X13"/>
      <c r="Y13" s="34">
        <v>10670</v>
      </c>
      <c r="Z13"/>
      <c r="AA13" s="34">
        <v>12000</v>
      </c>
      <c r="AB13" s="18"/>
      <c r="AC13" s="18"/>
      <c r="AD13" s="42"/>
      <c r="AE13" s="18"/>
      <c r="AF13" s="18"/>
      <c r="AG13" s="18"/>
    </row>
    <row r="14" spans="1:33" ht="14.4" x14ac:dyDescent="0.3">
      <c r="A14" s="23">
        <f t="shared" si="0"/>
        <v>27.020000000000003</v>
      </c>
      <c r="B14" s="24">
        <v>71</v>
      </c>
      <c r="C14" s="25">
        <v>12</v>
      </c>
      <c r="D14" s="6" t="s">
        <v>64</v>
      </c>
      <c r="E14" s="26">
        <v>39.239999999999995</v>
      </c>
      <c r="F14" s="26">
        <v>14.74</v>
      </c>
      <c r="G14" s="27">
        <f>E14+F14</f>
        <v>53.98</v>
      </c>
      <c r="H14" s="26">
        <f t="shared" si="1"/>
        <v>43.98</v>
      </c>
      <c r="I14" s="27">
        <v>10</v>
      </c>
      <c r="J14" s="28">
        <f>I14/I17*100</f>
        <v>2.1052631578947367</v>
      </c>
      <c r="K14" s="29">
        <f>+J14*L14%</f>
        <v>2.0631578947368419</v>
      </c>
      <c r="L14" s="6">
        <v>98</v>
      </c>
      <c r="M14" s="6"/>
      <c r="N14" s="6"/>
      <c r="O14" s="6"/>
      <c r="P14" s="30"/>
      <c r="Q14" s="6">
        <v>3</v>
      </c>
      <c r="R14" s="29">
        <f t="shared" si="3"/>
        <v>0.89473684210526327</v>
      </c>
      <c r="S14" s="31">
        <v>6</v>
      </c>
      <c r="T14" s="32" t="s">
        <v>63</v>
      </c>
      <c r="U14" s="24">
        <v>12000</v>
      </c>
      <c r="V14" s="38" t="s">
        <v>65</v>
      </c>
      <c r="W14" s="54">
        <v>0.92</v>
      </c>
      <c r="X14"/>
      <c r="Y14" s="54">
        <v>0.92</v>
      </c>
      <c r="Z14"/>
      <c r="AA14" s="54">
        <v>0.92</v>
      </c>
      <c r="AB14" s="18"/>
      <c r="AC14" s="18"/>
      <c r="AD14" s="42"/>
      <c r="AE14" s="18"/>
      <c r="AF14" s="18"/>
      <c r="AG14" s="18"/>
    </row>
    <row r="15" spans="1:33" ht="14.4" x14ac:dyDescent="0.3">
      <c r="A15" s="23">
        <f t="shared" si="0"/>
        <v>0</v>
      </c>
      <c r="B15" s="24">
        <v>0</v>
      </c>
      <c r="C15" s="25">
        <v>13</v>
      </c>
      <c r="D15" s="6" t="s">
        <v>1</v>
      </c>
      <c r="E15" s="26">
        <v>0</v>
      </c>
      <c r="F15" s="26">
        <v>0</v>
      </c>
      <c r="G15" s="27">
        <f>E15+F15</f>
        <v>0</v>
      </c>
      <c r="H15" s="26">
        <f>G15-I15</f>
        <v>0</v>
      </c>
      <c r="I15" s="27">
        <v>0</v>
      </c>
      <c r="J15" s="28">
        <f>I15/I17*100</f>
        <v>0</v>
      </c>
      <c r="K15" s="29">
        <f>J15*L15</f>
        <v>0</v>
      </c>
      <c r="L15" s="55">
        <v>0.98</v>
      </c>
      <c r="M15" s="6"/>
      <c r="N15" s="6"/>
      <c r="O15" s="6"/>
      <c r="P15" s="30"/>
      <c r="Q15" s="6"/>
      <c r="R15" s="29"/>
      <c r="S15" s="31"/>
      <c r="T15" s="32"/>
      <c r="U15" s="24"/>
      <c r="V15" s="38"/>
      <c r="W15" s="54"/>
      <c r="X15"/>
      <c r="Y15" s="54"/>
      <c r="Z15"/>
      <c r="AA15" s="54"/>
      <c r="AB15" s="18"/>
      <c r="AC15" s="18"/>
      <c r="AD15" s="42"/>
      <c r="AE15" s="18"/>
      <c r="AF15" s="18"/>
      <c r="AG15" s="18"/>
    </row>
    <row r="16" spans="1:33" ht="14.4" x14ac:dyDescent="0.3">
      <c r="A16" s="23">
        <f>+B16-H16</f>
        <v>-0.71999999999999975</v>
      </c>
      <c r="B16" s="24">
        <v>3</v>
      </c>
      <c r="C16" s="25">
        <v>14</v>
      </c>
      <c r="D16" s="6" t="s">
        <v>66</v>
      </c>
      <c r="E16" s="26">
        <v>3.7199999999999998</v>
      </c>
      <c r="F16" s="26">
        <v>0</v>
      </c>
      <c r="G16" s="27">
        <f t="shared" si="4"/>
        <v>3.7199999999999998</v>
      </c>
      <c r="H16" s="26">
        <f t="shared" si="1"/>
        <v>3.7199999999999998</v>
      </c>
      <c r="I16" s="27">
        <v>0</v>
      </c>
      <c r="J16" s="28">
        <f>I16/I17*100</f>
        <v>0</v>
      </c>
      <c r="K16" s="29">
        <f>+J16*L16%</f>
        <v>0</v>
      </c>
      <c r="L16" s="6">
        <v>94</v>
      </c>
      <c r="M16" s="8" t="s">
        <v>67</v>
      </c>
      <c r="N16" s="6" t="s">
        <v>68</v>
      </c>
      <c r="O16" s="36" t="s">
        <v>69</v>
      </c>
      <c r="P16" s="6"/>
      <c r="Q16" s="6"/>
      <c r="R16" s="29"/>
      <c r="S16" s="31">
        <v>7</v>
      </c>
      <c r="T16" s="32" t="s">
        <v>65</v>
      </c>
      <c r="U16" s="56">
        <v>0.9</v>
      </c>
      <c r="V16" s="57" t="s">
        <v>70</v>
      </c>
      <c r="W16" s="58">
        <f>(W13*W14)/(W11-W10)</f>
        <v>14.577625202350729</v>
      </c>
      <c r="X16"/>
      <c r="Y16" s="58">
        <f>(Y13*Y14)/(Y11-Y10)</f>
        <v>15.754297730914523</v>
      </c>
      <c r="Z16"/>
      <c r="AA16" s="58">
        <f>(AA13*AA14)/(AA11-AA10)</f>
        <v>17.017754994392352</v>
      </c>
      <c r="AB16" s="18"/>
      <c r="AC16" s="18"/>
      <c r="AD16" s="42"/>
      <c r="AE16" s="18"/>
      <c r="AF16" s="18"/>
      <c r="AG16" s="18"/>
    </row>
    <row r="17" spans="1:33" ht="14.4" x14ac:dyDescent="0.3">
      <c r="A17" s="59">
        <f>+B17-H17</f>
        <v>101.85599999999999</v>
      </c>
      <c r="B17" s="6">
        <f>SUM(B3:B14)+B16</f>
        <v>2007</v>
      </c>
      <c r="C17" s="8"/>
      <c r="D17" s="6" t="s">
        <v>10</v>
      </c>
      <c r="E17" s="26">
        <f>SUM(E3:E16)</f>
        <v>1847.2239999999999</v>
      </c>
      <c r="F17" s="27">
        <f>SUM(F3:F16)</f>
        <v>532.91999999999996</v>
      </c>
      <c r="G17" s="27">
        <f>E17+F17</f>
        <v>2380.1439999999998</v>
      </c>
      <c r="H17" s="26">
        <f>SUM(H3:H16)</f>
        <v>1905.144</v>
      </c>
      <c r="I17" s="27">
        <f>SUM(I3:I16)</f>
        <v>475</v>
      </c>
      <c r="J17" s="28">
        <f>SUM(J3:J16)</f>
        <v>100</v>
      </c>
      <c r="K17" s="29">
        <f>SUM(K3:K16)</f>
        <v>85.906947368421058</v>
      </c>
      <c r="L17" s="6"/>
      <c r="M17" s="30">
        <f>+O2/I17*100</f>
        <v>86.33010526315789</v>
      </c>
      <c r="N17" s="60">
        <f>+K17</f>
        <v>85.906947368421058</v>
      </c>
      <c r="O17" s="27">
        <f>+M17-N17</f>
        <v>0.42315789473683196</v>
      </c>
      <c r="P17" s="36">
        <f>1036+27</f>
        <v>1063</v>
      </c>
      <c r="Q17" s="6">
        <f>SUM(Q3:Q16)</f>
        <v>100</v>
      </c>
      <c r="R17" s="29">
        <f t="shared" si="3"/>
        <v>0</v>
      </c>
      <c r="S17" s="31">
        <v>8</v>
      </c>
      <c r="T17" s="32" t="s">
        <v>70</v>
      </c>
      <c r="U17" s="61">
        <f>(U14*U16)/(U12-U11)</f>
        <v>17.332873099494403</v>
      </c>
      <c r="V17" s="38" t="s">
        <v>71</v>
      </c>
      <c r="W17" s="50">
        <v>34</v>
      </c>
      <c r="X17"/>
      <c r="Y17" s="50">
        <v>34</v>
      </c>
      <c r="Z17"/>
      <c r="AA17" s="50">
        <v>34</v>
      </c>
      <c r="AB17" s="18"/>
      <c r="AC17" s="18"/>
      <c r="AD17" s="18"/>
      <c r="AE17" s="18"/>
      <c r="AF17" s="18"/>
      <c r="AG17" s="18"/>
    </row>
    <row r="18" spans="1:33" ht="14.4" x14ac:dyDescent="0.3">
      <c r="A18" s="62"/>
      <c r="B18" s="63">
        <f>+H17-B17</f>
        <v>-101.85599999999999</v>
      </c>
      <c r="C18" s="8"/>
      <c r="D18" s="6"/>
      <c r="E18" s="26"/>
      <c r="F18" s="27"/>
      <c r="G18" s="27"/>
      <c r="H18" s="26"/>
      <c r="I18" s="27"/>
      <c r="J18" s="28" t="s">
        <v>72</v>
      </c>
      <c r="K18" s="64">
        <f>P2/M3</f>
        <v>1.4577154452996484E-2</v>
      </c>
      <c r="L18" s="6"/>
      <c r="M18" s="30"/>
      <c r="N18" s="60"/>
      <c r="O18" s="27"/>
      <c r="P18" s="36">
        <f>+P17-P19</f>
        <v>331.15100000000007</v>
      </c>
      <c r="Q18" s="6"/>
      <c r="R18" s="29"/>
      <c r="S18" s="31"/>
      <c r="T18" s="32"/>
      <c r="U18" s="61"/>
      <c r="V18" s="38"/>
      <c r="W18" s="50"/>
      <c r="X18"/>
      <c r="Y18" s="50"/>
      <c r="Z18"/>
      <c r="AA18" s="50"/>
      <c r="AB18" s="18"/>
      <c r="AC18" s="18"/>
      <c r="AD18" s="18"/>
      <c r="AE18" s="18"/>
      <c r="AF18" s="18"/>
      <c r="AG18" s="18"/>
    </row>
    <row r="19" spans="1:33" ht="23.4" x14ac:dyDescent="0.45">
      <c r="A19" s="6">
        <f>B3+B4+B5+B13</f>
        <v>873</v>
      </c>
      <c r="B19" s="6">
        <f>B12+B14+B16</f>
        <v>723</v>
      </c>
      <c r="C19" s="8"/>
      <c r="D19" s="6" t="s">
        <v>73</v>
      </c>
      <c r="E19" s="27">
        <v>0</v>
      </c>
      <c r="F19" s="27">
        <v>0</v>
      </c>
      <c r="G19" s="27">
        <f>+E19+F19</f>
        <v>0</v>
      </c>
      <c r="H19" s="27">
        <f>G19-I19</f>
        <v>0</v>
      </c>
      <c r="I19" s="27">
        <f>F19</f>
        <v>0</v>
      </c>
      <c r="J19" s="65"/>
      <c r="K19" s="29"/>
      <c r="L19" s="6" t="s">
        <v>74</v>
      </c>
      <c r="M19" s="25" t="s">
        <v>75</v>
      </c>
      <c r="N19" s="66">
        <f>H3+H4+H5+H13+H10</f>
        <v>826.92000000000007</v>
      </c>
      <c r="O19" s="65" t="s">
        <v>76</v>
      </c>
      <c r="P19" s="67">
        <f>H12+H14+H16</f>
        <v>731.84899999999993</v>
      </c>
      <c r="Q19" s="27">
        <f>+P19+N19</f>
        <v>1558.769</v>
      </c>
      <c r="R19" s="68"/>
      <c r="S19" s="31">
        <v>9</v>
      </c>
      <c r="T19" s="32" t="s">
        <v>71</v>
      </c>
      <c r="U19" s="24">
        <v>34</v>
      </c>
      <c r="V19" s="38" t="s">
        <v>77</v>
      </c>
      <c r="W19" s="69">
        <f>W17*60/W16</f>
        <v>139.94048904968676</v>
      </c>
      <c r="X19"/>
      <c r="Y19" s="69">
        <f>Y17*60/Y16</f>
        <v>129.48847576981649</v>
      </c>
      <c r="Z19"/>
      <c r="AA19" s="69">
        <f>AA17*60/AA16</f>
        <v>119.87480138668207</v>
      </c>
      <c r="AB19" s="18"/>
      <c r="AC19" s="18"/>
      <c r="AD19" s="18"/>
      <c r="AE19" s="18"/>
      <c r="AF19" s="18"/>
      <c r="AG19" s="18"/>
    </row>
    <row r="20" spans="1:33" ht="14.4" x14ac:dyDescent="0.3">
      <c r="A20" s="63">
        <f>A19-N19</f>
        <v>46.079999999999927</v>
      </c>
      <c r="B20" s="70">
        <f>B19-P19</f>
        <v>-8.8489999999999327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31">
        <v>10</v>
      </c>
      <c r="T20" s="32" t="s">
        <v>77</v>
      </c>
      <c r="U20" s="71">
        <f>U19*60/U17</f>
        <v>117.69543273581726</v>
      </c>
      <c r="V20" s="57" t="s">
        <v>78</v>
      </c>
      <c r="W20" s="72">
        <v>5</v>
      </c>
      <c r="X20"/>
      <c r="Y20" s="72">
        <v>12</v>
      </c>
      <c r="Z20"/>
      <c r="AA20" s="72">
        <v>15</v>
      </c>
      <c r="AB20" s="18"/>
      <c r="AC20" s="18"/>
      <c r="AD20" s="18"/>
      <c r="AE20" s="18"/>
      <c r="AF20" s="18"/>
      <c r="AG20" s="18"/>
    </row>
    <row r="21" spans="1:33" ht="42" x14ac:dyDescent="0.3">
      <c r="A21" s="73"/>
      <c r="B21" s="74"/>
      <c r="C21" s="74"/>
      <c r="H21" s="2"/>
      <c r="S21" s="8">
        <v>11</v>
      </c>
      <c r="T21" s="32" t="s">
        <v>78</v>
      </c>
      <c r="U21" s="75">
        <v>6</v>
      </c>
      <c r="V21" s="57" t="s">
        <v>79</v>
      </c>
      <c r="W21" s="72">
        <f>W20+W19</f>
        <v>144.94048904968676</v>
      </c>
      <c r="X21"/>
      <c r="Y21" s="72">
        <f>Y20+Y19</f>
        <v>141.48847576981649</v>
      </c>
      <c r="Z21"/>
      <c r="AA21" s="72">
        <f>AA20+AA19</f>
        <v>134.87480138668207</v>
      </c>
      <c r="AB21" s="18"/>
      <c r="AC21" s="18"/>
      <c r="AD21" s="18"/>
      <c r="AE21" s="18"/>
      <c r="AF21" s="18"/>
      <c r="AG21" s="18"/>
    </row>
    <row r="22" spans="1:33" s="82" customFormat="1" ht="14.4" x14ac:dyDescent="0.3">
      <c r="A22" s="76"/>
      <c r="B22" s="77">
        <f>A12+A16</f>
        <v>-35.868999999999886</v>
      </c>
      <c r="C22" s="78"/>
      <c r="D22" s="2"/>
      <c r="E22" s="79">
        <f>H12+H14+H16</f>
        <v>731.84899999999993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6">
        <v>12</v>
      </c>
      <c r="T22" s="32" t="s">
        <v>79</v>
      </c>
      <c r="U22" s="71">
        <f>U21+U20</f>
        <v>123.69543273581726</v>
      </c>
      <c r="V22" s="38" t="s">
        <v>80</v>
      </c>
      <c r="W22" s="80">
        <f>24*60/W21</f>
        <v>9.9351120548955549</v>
      </c>
      <c r="X22"/>
      <c r="Y22" s="80">
        <f>24*60/Y21</f>
        <v>10.177507335245412</v>
      </c>
      <c r="Z22"/>
      <c r="AA22" s="80">
        <f>24*60/AA21</f>
        <v>10.676568085327983</v>
      </c>
      <c r="AB22" s="81"/>
      <c r="AC22" s="81"/>
      <c r="AD22" s="81"/>
      <c r="AE22" s="81"/>
      <c r="AF22" s="81"/>
      <c r="AG22" s="81"/>
    </row>
    <row r="23" spans="1:33" ht="14.4" x14ac:dyDescent="0.3">
      <c r="A23" s="83"/>
      <c r="B23" s="84"/>
      <c r="C23" s="84"/>
      <c r="E23" s="2">
        <f>B12+B14+B16</f>
        <v>723</v>
      </c>
      <c r="H23" s="2"/>
      <c r="S23" s="6">
        <v>13</v>
      </c>
      <c r="T23" s="32" t="s">
        <v>80</v>
      </c>
      <c r="U23" s="85">
        <f>24*60/U22</f>
        <v>11.641496926369808</v>
      </c>
      <c r="V23" s="57" t="s">
        <v>81</v>
      </c>
      <c r="W23" s="86">
        <f>W22*W17</f>
        <v>337.7938098664489</v>
      </c>
      <c r="X23"/>
      <c r="Y23" s="86">
        <f>Y22*Y17</f>
        <v>346.03524939834404</v>
      </c>
      <c r="Z23"/>
      <c r="AA23" s="86">
        <f>AA22*AA17</f>
        <v>363.00331490115138</v>
      </c>
      <c r="AB23" s="18"/>
      <c r="AC23" s="18"/>
      <c r="AD23" s="18"/>
      <c r="AE23" s="18"/>
      <c r="AF23" s="18"/>
      <c r="AG23" s="18"/>
    </row>
    <row r="24" spans="1:33" ht="15" thickBot="1" x14ac:dyDescent="0.35">
      <c r="A24" s="73"/>
      <c r="B24" s="74"/>
      <c r="C24" s="87"/>
      <c r="E24" s="79">
        <f>E23-E22</f>
        <v>-8.8489999999999327</v>
      </c>
      <c r="H24" s="2"/>
      <c r="S24" s="6">
        <v>14</v>
      </c>
      <c r="T24" s="88" t="s">
        <v>81</v>
      </c>
      <c r="U24" s="89">
        <f>U23*U19</f>
        <v>395.81089549657344</v>
      </c>
      <c r="V24" s="57" t="s">
        <v>82</v>
      </c>
      <c r="W24" s="3">
        <v>65</v>
      </c>
      <c r="X24"/>
      <c r="Y24" s="90">
        <f>+W23*W24/Y23</f>
        <v>63.45191040362333</v>
      </c>
      <c r="Z24" s="91"/>
      <c r="AA24" s="90">
        <f>+Y23*Y24/AA23</f>
        <v>60.485942524514222</v>
      </c>
      <c r="AB24" s="18"/>
      <c r="AC24" s="18"/>
      <c r="AD24" s="18"/>
      <c r="AE24" s="18"/>
      <c r="AF24" s="18"/>
      <c r="AG24" s="18"/>
    </row>
    <row r="25" spans="1:33" ht="13.8" x14ac:dyDescent="0.3">
      <c r="A25" s="83"/>
      <c r="B25" s="92"/>
      <c r="C25" s="87"/>
      <c r="H25" s="2"/>
      <c r="S25" s="18"/>
      <c r="T25" s="93"/>
      <c r="U25" s="94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1:33" ht="13.8" x14ac:dyDescent="0.3">
      <c r="A26" s="83"/>
      <c r="B26" s="95"/>
      <c r="C26" s="87"/>
      <c r="H26" s="2"/>
      <c r="S26" s="18"/>
      <c r="T26" s="81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 x14ac:dyDescent="0.2">
      <c r="C27" s="81"/>
      <c r="S27" s="18"/>
      <c r="T27" s="81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 x14ac:dyDescent="0.2">
      <c r="C28" s="81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</sheetData>
  <mergeCells count="3">
    <mergeCell ref="A1:N1"/>
    <mergeCell ref="T1:U1"/>
    <mergeCell ref="C20:R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C1B9A-5697-4721-9D97-259FF2BCB444}">
  <dimension ref="A1:AG28"/>
  <sheetViews>
    <sheetView zoomScale="136" zoomScaleNormal="136" workbookViewId="0">
      <selection activeCell="H17" sqref="H17"/>
    </sheetView>
  </sheetViews>
  <sheetFormatPr defaultColWidth="9.109375" defaultRowHeight="10.199999999999999" x14ac:dyDescent="0.2"/>
  <cols>
    <col min="1" max="1" width="14.109375" style="2" bestFit="1" customWidth="1"/>
    <col min="2" max="2" width="7.88671875" style="2" bestFit="1" customWidth="1"/>
    <col min="3" max="3" width="8.44140625" style="82" bestFit="1" customWidth="1"/>
    <col min="4" max="4" width="17.5546875" style="2" bestFit="1" customWidth="1"/>
    <col min="5" max="5" width="10.88671875" style="2" bestFit="1" customWidth="1"/>
    <col min="6" max="6" width="7.33203125" style="2" bestFit="1" customWidth="1"/>
    <col min="7" max="7" width="9.109375" style="2"/>
    <col min="8" max="8" width="10" style="82" customWidth="1"/>
    <col min="9" max="9" width="9.5546875" style="2" bestFit="1" customWidth="1"/>
    <col min="10" max="10" width="10.44140625" style="2" bestFit="1" customWidth="1"/>
    <col min="11" max="11" width="12" style="2" customWidth="1"/>
    <col min="12" max="12" width="10.109375" style="2" bestFit="1" customWidth="1"/>
    <col min="13" max="13" width="10.5546875" style="2" bestFit="1" customWidth="1"/>
    <col min="14" max="14" width="15" style="2" customWidth="1"/>
    <col min="15" max="15" width="12.109375" style="2" customWidth="1"/>
    <col min="16" max="16" width="15.33203125" style="2" customWidth="1"/>
    <col min="17" max="17" width="7.44140625" style="2" bestFit="1" customWidth="1"/>
    <col min="18" max="18" width="7.6640625" style="2" customWidth="1"/>
    <col min="19" max="19" width="5.33203125" style="2" bestFit="1" customWidth="1"/>
    <col min="20" max="20" width="27.5546875" style="82" customWidth="1"/>
    <col min="21" max="21" width="11.44140625" style="2" bestFit="1" customWidth="1"/>
    <col min="22" max="22" width="30.88671875" style="2" customWidth="1"/>
    <col min="23" max="23" width="11.44140625" style="2" bestFit="1" customWidth="1"/>
    <col min="24" max="24" width="6.109375" style="2" bestFit="1" customWidth="1"/>
    <col min="25" max="25" width="11.44140625" style="2" bestFit="1" customWidth="1"/>
    <col min="26" max="26" width="5.44140625" style="2" bestFit="1" customWidth="1"/>
    <col min="27" max="27" width="11.44140625" style="2" bestFit="1" customWidth="1"/>
    <col min="28" max="28" width="6.6640625" style="2" bestFit="1" customWidth="1"/>
    <col min="29" max="29" width="5.5546875" style="2" bestFit="1" customWidth="1"/>
    <col min="30" max="30" width="7" style="2" bestFit="1" customWidth="1"/>
    <col min="31" max="31" width="4.44140625" style="2" bestFit="1" customWidth="1"/>
    <col min="32" max="16384" width="9.109375" style="2"/>
  </cols>
  <sheetData>
    <row r="1" spans="1:33" ht="15" thickBot="1" x14ac:dyDescent="0.35">
      <c r="A1" s="96" t="s">
        <v>89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1" t="s">
        <v>0</v>
      </c>
      <c r="P1" s="1" t="s">
        <v>1</v>
      </c>
      <c r="Q1" s="1"/>
      <c r="R1" s="1"/>
      <c r="T1" s="97" t="s">
        <v>2</v>
      </c>
      <c r="U1" s="98"/>
      <c r="V1" s="3" t="s">
        <v>3</v>
      </c>
      <c r="W1" s="4">
        <v>0.5</v>
      </c>
      <c r="X1"/>
      <c r="Y1" s="5">
        <v>0.4</v>
      </c>
      <c r="Z1"/>
      <c r="AA1" s="5">
        <v>0.3</v>
      </c>
    </row>
    <row r="2" spans="1:33" ht="14.4" x14ac:dyDescent="0.3">
      <c r="A2" s="6" t="s">
        <v>4</v>
      </c>
      <c r="B2" s="7" t="s">
        <v>5</v>
      </c>
      <c r="C2" s="8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8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9" t="s">
        <v>17</v>
      </c>
      <c r="O2" s="10">
        <v>412.89499999999998</v>
      </c>
      <c r="P2" s="11">
        <v>5.52</v>
      </c>
      <c r="Q2" s="6" t="s">
        <v>18</v>
      </c>
      <c r="R2" s="6" t="s">
        <v>19</v>
      </c>
      <c r="S2" s="12" t="s">
        <v>20</v>
      </c>
      <c r="T2" s="13" t="s">
        <v>21</v>
      </c>
      <c r="U2" s="14" t="s">
        <v>22</v>
      </c>
      <c r="V2" s="15" t="s">
        <v>21</v>
      </c>
      <c r="W2" s="16" t="s">
        <v>22</v>
      </c>
      <c r="X2"/>
      <c r="Y2" s="17" t="s">
        <v>22</v>
      </c>
      <c r="Z2"/>
      <c r="AA2" s="17" t="s">
        <v>22</v>
      </c>
      <c r="AB2" s="18"/>
      <c r="AC2" s="18"/>
      <c r="AD2" s="19"/>
      <c r="AE2" s="20"/>
      <c r="AF2" s="21"/>
      <c r="AG2" s="22"/>
    </row>
    <row r="3" spans="1:33" ht="14.4" x14ac:dyDescent="0.3">
      <c r="A3" s="23">
        <f>+B3-H3</f>
        <v>25.779999999999973</v>
      </c>
      <c r="B3" s="24">
        <v>351</v>
      </c>
      <c r="C3" s="25">
        <v>1</v>
      </c>
      <c r="D3" s="6" t="s">
        <v>23</v>
      </c>
      <c r="E3" s="26">
        <v>390.22</v>
      </c>
      <c r="F3" s="26">
        <v>0</v>
      </c>
      <c r="G3" s="27">
        <f>E3+F3</f>
        <v>390.22</v>
      </c>
      <c r="H3" s="26">
        <f>G3-I3</f>
        <v>325.22000000000003</v>
      </c>
      <c r="I3" s="27">
        <v>65</v>
      </c>
      <c r="J3" s="28">
        <f>I3/I17*100</f>
        <v>13.541666666666666</v>
      </c>
      <c r="K3" s="29">
        <f>+J3*L3%</f>
        <v>10.883437500000001</v>
      </c>
      <c r="L3" s="30">
        <v>80.37</v>
      </c>
      <c r="M3" s="27">
        <v>412.89499999999998</v>
      </c>
      <c r="N3" s="28">
        <f>U24</f>
        <v>393.52578355309311</v>
      </c>
      <c r="O3" s="30" t="s">
        <v>24</v>
      </c>
      <c r="P3" s="27" t="s">
        <v>25</v>
      </c>
      <c r="Q3" s="6">
        <v>16</v>
      </c>
      <c r="R3" s="29">
        <f>Q3-J3</f>
        <v>2.4583333333333339</v>
      </c>
      <c r="S3" s="31"/>
      <c r="T3" s="32" t="s">
        <v>26</v>
      </c>
      <c r="U3" s="24">
        <v>30</v>
      </c>
      <c r="V3" s="33" t="s">
        <v>26</v>
      </c>
      <c r="W3" s="34">
        <v>30</v>
      </c>
      <c r="X3"/>
      <c r="Y3" s="34">
        <v>30</v>
      </c>
      <c r="Z3"/>
      <c r="AA3" s="34">
        <v>30</v>
      </c>
      <c r="AB3" s="18"/>
      <c r="AC3" s="18"/>
      <c r="AD3" s="18"/>
      <c r="AE3" s="35"/>
      <c r="AF3" s="18"/>
      <c r="AG3" s="18"/>
    </row>
    <row r="4" spans="1:33" ht="14.4" x14ac:dyDescent="0.3">
      <c r="A4" s="23">
        <f t="shared" ref="A4:A15" si="0">+B4-H4</f>
        <v>-7.1099999999999568</v>
      </c>
      <c r="B4" s="24">
        <v>258</v>
      </c>
      <c r="C4" s="25">
        <v>2</v>
      </c>
      <c r="D4" s="6" t="s">
        <v>27</v>
      </c>
      <c r="E4" s="26">
        <v>279.89999999999998</v>
      </c>
      <c r="F4" s="26">
        <v>45.21</v>
      </c>
      <c r="G4" s="27">
        <f>E4+F4</f>
        <v>325.10999999999996</v>
      </c>
      <c r="H4" s="26">
        <f t="shared" ref="H4:H16" si="1">G4-I4</f>
        <v>265.10999999999996</v>
      </c>
      <c r="I4" s="27">
        <v>60</v>
      </c>
      <c r="J4" s="28">
        <f>I4/I17*100</f>
        <v>12.5</v>
      </c>
      <c r="K4" s="29">
        <f t="shared" ref="K4:K13" si="2">+J4*L4%</f>
        <v>9.3462499999999995</v>
      </c>
      <c r="L4" s="30">
        <v>74.77</v>
      </c>
      <c r="M4" s="6" t="s">
        <v>28</v>
      </c>
      <c r="N4" s="6" t="s">
        <v>29</v>
      </c>
      <c r="O4" s="36">
        <v>265083</v>
      </c>
      <c r="P4" s="36">
        <v>24448</v>
      </c>
      <c r="Q4" s="6">
        <v>13</v>
      </c>
      <c r="R4" s="29">
        <f t="shared" ref="R4:R17" si="3">Q4-J4</f>
        <v>0.5</v>
      </c>
      <c r="S4" s="31">
        <v>1</v>
      </c>
      <c r="T4" s="32" t="s">
        <v>30</v>
      </c>
      <c r="U4" s="37">
        <f>M17</f>
        <v>86.019791666666663</v>
      </c>
      <c r="V4" s="38" t="s">
        <v>30</v>
      </c>
      <c r="W4" s="39">
        <v>86.44</v>
      </c>
      <c r="X4"/>
      <c r="Y4" s="39">
        <f>U4</f>
        <v>86.019791666666663</v>
      </c>
      <c r="Z4"/>
      <c r="AA4" s="39">
        <v>84.28</v>
      </c>
      <c r="AB4" s="18"/>
      <c r="AC4" s="18"/>
      <c r="AD4" s="18"/>
      <c r="AE4" s="18"/>
      <c r="AF4" s="18"/>
      <c r="AG4" s="18"/>
    </row>
    <row r="5" spans="1:33" ht="14.4" x14ac:dyDescent="0.3">
      <c r="A5" s="23">
        <f t="shared" si="0"/>
        <v>27.70999999999998</v>
      </c>
      <c r="B5" s="24">
        <v>219</v>
      </c>
      <c r="C5" s="25">
        <v>3</v>
      </c>
      <c r="D5" s="6" t="s">
        <v>31</v>
      </c>
      <c r="E5" s="26">
        <v>131.86000000000001</v>
      </c>
      <c r="F5" s="26">
        <v>159.43</v>
      </c>
      <c r="G5" s="27">
        <f>E5+F5</f>
        <v>291.29000000000002</v>
      </c>
      <c r="H5" s="26">
        <f t="shared" si="1"/>
        <v>191.29000000000002</v>
      </c>
      <c r="I5" s="27">
        <v>100</v>
      </c>
      <c r="J5" s="28">
        <f>I5/I17*100</f>
        <v>20.833333333333336</v>
      </c>
      <c r="K5" s="29">
        <f t="shared" si="2"/>
        <v>16.44166666666667</v>
      </c>
      <c r="L5" s="30">
        <v>78.92</v>
      </c>
      <c r="M5" s="36">
        <f>O4/O2</f>
        <v>642.01068068152927</v>
      </c>
      <c r="N5" s="36">
        <f>+U12</f>
        <v>660.22940860670792</v>
      </c>
      <c r="O5" s="36">
        <f>+N5-M5</f>
        <v>18.218727925178655</v>
      </c>
      <c r="P5" s="36">
        <f>+P4/O2</f>
        <v>59.211179597718548</v>
      </c>
      <c r="Q5" s="6">
        <v>18</v>
      </c>
      <c r="R5" s="29">
        <f t="shared" si="3"/>
        <v>-2.8333333333333357</v>
      </c>
      <c r="S5" s="31"/>
      <c r="T5" s="32" t="s">
        <v>32</v>
      </c>
      <c r="U5" s="40" t="s">
        <v>33</v>
      </c>
      <c r="V5" s="38" t="s">
        <v>32</v>
      </c>
      <c r="W5" s="41" t="s">
        <v>33</v>
      </c>
      <c r="X5"/>
      <c r="Y5" s="41" t="s">
        <v>33</v>
      </c>
      <c r="Z5"/>
      <c r="AA5" s="41" t="s">
        <v>33</v>
      </c>
      <c r="AB5" s="18"/>
      <c r="AC5" s="18"/>
      <c r="AD5" s="42"/>
      <c r="AE5" s="18"/>
      <c r="AF5" s="18"/>
      <c r="AG5" s="18"/>
    </row>
    <row r="6" spans="1:33" ht="14.4" x14ac:dyDescent="0.3">
      <c r="A6" s="23">
        <f t="shared" si="0"/>
        <v>36.449999999999989</v>
      </c>
      <c r="B6" s="24">
        <v>351</v>
      </c>
      <c r="C6" s="25">
        <v>4</v>
      </c>
      <c r="D6" s="6" t="s">
        <v>34</v>
      </c>
      <c r="E6" s="26">
        <v>314.55</v>
      </c>
      <c r="F6" s="26">
        <v>0</v>
      </c>
      <c r="G6" s="27">
        <f t="shared" ref="G6:G16" si="4">E6+F6</f>
        <v>314.55</v>
      </c>
      <c r="H6" s="26">
        <f>G6-I6</f>
        <v>314.55</v>
      </c>
      <c r="I6" s="27">
        <v>0</v>
      </c>
      <c r="J6" s="28">
        <f>I6/I17*100</f>
        <v>0</v>
      </c>
      <c r="K6" s="29">
        <f t="shared" si="2"/>
        <v>0</v>
      </c>
      <c r="L6" s="6">
        <v>94</v>
      </c>
      <c r="M6" s="6" t="s">
        <v>35</v>
      </c>
      <c r="N6" s="6"/>
      <c r="O6" s="6" t="s">
        <v>36</v>
      </c>
      <c r="P6" s="6">
        <v>3728</v>
      </c>
      <c r="Q6" s="6">
        <v>0</v>
      </c>
      <c r="R6" s="29">
        <f t="shared" si="3"/>
        <v>0</v>
      </c>
      <c r="S6" s="31"/>
      <c r="T6" s="32" t="s">
        <v>37</v>
      </c>
      <c r="U6" s="40" t="s">
        <v>38</v>
      </c>
      <c r="V6" s="38" t="s">
        <v>37</v>
      </c>
      <c r="W6" s="41" t="s">
        <v>39</v>
      </c>
      <c r="X6"/>
      <c r="Y6" s="41" t="s">
        <v>39</v>
      </c>
      <c r="Z6"/>
      <c r="AA6" s="41" t="s">
        <v>39</v>
      </c>
      <c r="AB6" s="43"/>
      <c r="AC6" s="44"/>
      <c r="AD6" s="44"/>
      <c r="AE6" s="44"/>
      <c r="AF6" s="18"/>
      <c r="AG6" s="18"/>
    </row>
    <row r="7" spans="1:33" ht="14.4" x14ac:dyDescent="0.3">
      <c r="A7" s="23">
        <v>0</v>
      </c>
      <c r="B7" s="24">
        <v>0</v>
      </c>
      <c r="C7" s="25">
        <v>5</v>
      </c>
      <c r="D7" s="6" t="s">
        <v>40</v>
      </c>
      <c r="E7" s="26">
        <v>0</v>
      </c>
      <c r="F7" s="26">
        <v>0</v>
      </c>
      <c r="G7" s="27">
        <f t="shared" si="4"/>
        <v>0</v>
      </c>
      <c r="H7" s="26">
        <f t="shared" si="1"/>
        <v>0</v>
      </c>
      <c r="I7" s="27">
        <v>0</v>
      </c>
      <c r="J7" s="28">
        <f>I7/I17*100</f>
        <v>0</v>
      </c>
      <c r="K7" s="29">
        <f t="shared" si="2"/>
        <v>0</v>
      </c>
      <c r="L7" s="6">
        <v>88</v>
      </c>
      <c r="M7" s="36">
        <f>+P5+P8</f>
        <v>68.240109470930861</v>
      </c>
      <c r="N7" s="36">
        <v>67</v>
      </c>
      <c r="O7" s="36">
        <f>+N7-M7</f>
        <v>-1.2401094709308609</v>
      </c>
      <c r="P7" s="36"/>
      <c r="Q7" s="6">
        <v>0</v>
      </c>
      <c r="R7" s="29">
        <f t="shared" si="3"/>
        <v>0</v>
      </c>
      <c r="S7" s="31">
        <v>2</v>
      </c>
      <c r="T7" s="32" t="s">
        <v>41</v>
      </c>
      <c r="U7" s="40">
        <v>455</v>
      </c>
      <c r="V7" s="38" t="s">
        <v>41</v>
      </c>
      <c r="W7" s="41">
        <v>465</v>
      </c>
      <c r="X7"/>
      <c r="Y7" s="41">
        <v>455</v>
      </c>
      <c r="Z7"/>
      <c r="AA7" s="41">
        <v>455</v>
      </c>
      <c r="AB7" s="18"/>
      <c r="AC7" s="18"/>
      <c r="AD7" s="42"/>
      <c r="AE7" s="18"/>
      <c r="AF7" s="18"/>
      <c r="AG7" s="18"/>
    </row>
    <row r="8" spans="1:33" ht="14.4" x14ac:dyDescent="0.3">
      <c r="A8" s="23">
        <f t="shared" si="0"/>
        <v>19.975000000000001</v>
      </c>
      <c r="B8" s="24">
        <v>58</v>
      </c>
      <c r="C8" s="25">
        <v>6</v>
      </c>
      <c r="D8" s="6" t="s">
        <v>42</v>
      </c>
      <c r="E8" s="26">
        <v>31.824999999999999</v>
      </c>
      <c r="F8" s="26">
        <v>6.2</v>
      </c>
      <c r="G8" s="27">
        <f t="shared" si="4"/>
        <v>38.024999999999999</v>
      </c>
      <c r="H8" s="26">
        <f t="shared" si="1"/>
        <v>38.024999999999999</v>
      </c>
      <c r="I8" s="27">
        <v>0</v>
      </c>
      <c r="J8" s="28">
        <f>I8/I17*100</f>
        <v>0</v>
      </c>
      <c r="K8" s="29">
        <f t="shared" si="2"/>
        <v>0</v>
      </c>
      <c r="L8" s="6">
        <v>90</v>
      </c>
      <c r="M8" s="30" t="s">
        <v>43</v>
      </c>
      <c r="N8" s="30" t="s">
        <v>44</v>
      </c>
      <c r="O8" s="6" t="s">
        <v>45</v>
      </c>
      <c r="P8" s="36">
        <f>+P6/O2</f>
        <v>9.0289298732123182</v>
      </c>
      <c r="Q8" s="6">
        <v>0</v>
      </c>
      <c r="R8" s="29">
        <f t="shared" si="3"/>
        <v>0</v>
      </c>
      <c r="S8" s="31"/>
      <c r="T8" s="32"/>
      <c r="U8" s="40"/>
      <c r="V8" s="38" t="s">
        <v>46</v>
      </c>
      <c r="W8" s="45">
        <f>((W7*(2-W4/100))/(W4/100))</f>
        <v>610.89079130032405</v>
      </c>
      <c r="X8"/>
      <c r="Y8" s="45">
        <f>((Y7*(2-Y4/100))/(Y4/100))</f>
        <v>602.89607527337455</v>
      </c>
      <c r="Z8"/>
      <c r="AA8" s="45">
        <f>((AA7*(2-AA4/100))/(AA4/100))</f>
        <v>624.73421926910294</v>
      </c>
      <c r="AB8" s="18"/>
      <c r="AC8" s="18"/>
      <c r="AD8" s="42"/>
      <c r="AE8" s="18"/>
      <c r="AF8" s="18"/>
      <c r="AG8" s="18"/>
    </row>
    <row r="9" spans="1:33" ht="14.4" x14ac:dyDescent="0.3">
      <c r="A9" s="23">
        <f t="shared" si="0"/>
        <v>0</v>
      </c>
      <c r="B9" s="24">
        <v>0</v>
      </c>
      <c r="C9" s="25">
        <v>7</v>
      </c>
      <c r="D9" s="6" t="s">
        <v>47</v>
      </c>
      <c r="E9" s="26">
        <v>0</v>
      </c>
      <c r="F9" s="26">
        <v>0</v>
      </c>
      <c r="G9" s="46">
        <f t="shared" si="4"/>
        <v>0</v>
      </c>
      <c r="H9" s="26">
        <f t="shared" si="1"/>
        <v>0</v>
      </c>
      <c r="I9" s="27">
        <v>0</v>
      </c>
      <c r="J9" s="28">
        <f>I9/I17*100</f>
        <v>0</v>
      </c>
      <c r="K9" s="29">
        <f t="shared" si="2"/>
        <v>0</v>
      </c>
      <c r="L9" s="6">
        <v>93</v>
      </c>
      <c r="M9" s="36">
        <f>+M5+M7</f>
        <v>710.25079015246013</v>
      </c>
      <c r="N9" s="36">
        <f>+N5+N7</f>
        <v>727.22940860670792</v>
      </c>
      <c r="O9" s="36">
        <f>+N9-M9</f>
        <v>16.978618454247794</v>
      </c>
      <c r="P9" s="36"/>
      <c r="Q9" s="6">
        <v>0</v>
      </c>
      <c r="R9" s="29">
        <f t="shared" si="3"/>
        <v>0</v>
      </c>
      <c r="S9" s="31" t="s">
        <v>48</v>
      </c>
      <c r="T9" s="32" t="s">
        <v>46</v>
      </c>
      <c r="U9" s="47">
        <f>((U7*(2-U4/100))/(U4/100))</f>
        <v>602.89607527337455</v>
      </c>
      <c r="V9" s="38" t="s">
        <v>49</v>
      </c>
      <c r="W9" s="45">
        <v>24</v>
      </c>
      <c r="X9"/>
      <c r="Y9" s="45">
        <v>24</v>
      </c>
      <c r="Z9"/>
      <c r="AA9" s="45">
        <v>24</v>
      </c>
      <c r="AB9" s="18"/>
      <c r="AC9" s="18"/>
      <c r="AD9" s="42"/>
      <c r="AE9" s="18"/>
      <c r="AF9" s="18"/>
      <c r="AG9" s="18"/>
    </row>
    <row r="10" spans="1:33" ht="14.4" x14ac:dyDescent="0.3">
      <c r="A10" s="23">
        <f t="shared" si="0"/>
        <v>0</v>
      </c>
      <c r="B10" s="24">
        <v>0</v>
      </c>
      <c r="C10" s="25">
        <v>8</v>
      </c>
      <c r="D10" s="6" t="s">
        <v>50</v>
      </c>
      <c r="E10" s="26">
        <v>0</v>
      </c>
      <c r="F10" s="26">
        <v>0</v>
      </c>
      <c r="G10" s="27">
        <f t="shared" si="4"/>
        <v>0</v>
      </c>
      <c r="H10" s="26">
        <f t="shared" si="1"/>
        <v>0</v>
      </c>
      <c r="I10" s="27">
        <v>0</v>
      </c>
      <c r="J10" s="28">
        <f>I10/I17*100</f>
        <v>0</v>
      </c>
      <c r="K10" s="29">
        <f t="shared" si="2"/>
        <v>0</v>
      </c>
      <c r="L10" s="6">
        <v>70</v>
      </c>
      <c r="M10" s="6"/>
      <c r="N10" s="6"/>
      <c r="O10" s="6"/>
      <c r="P10" s="6"/>
      <c r="Q10" s="6">
        <v>0</v>
      </c>
      <c r="R10" s="29">
        <f t="shared" si="3"/>
        <v>0</v>
      </c>
      <c r="S10" s="31" t="s">
        <v>51</v>
      </c>
      <c r="T10" s="32" t="s">
        <v>49</v>
      </c>
      <c r="U10" s="47">
        <v>24</v>
      </c>
      <c r="V10" s="38" t="s">
        <v>52</v>
      </c>
      <c r="W10" s="45">
        <v>20</v>
      </c>
      <c r="X10"/>
      <c r="Y10" s="45">
        <f>U11</f>
        <v>33.333333333333336</v>
      </c>
      <c r="Z10"/>
      <c r="AA10" s="45">
        <v>25</v>
      </c>
      <c r="AB10" s="18"/>
      <c r="AC10" s="18"/>
      <c r="AD10" s="42"/>
      <c r="AE10" s="18"/>
      <c r="AF10" s="18"/>
      <c r="AG10" s="18"/>
    </row>
    <row r="11" spans="1:33" ht="14.4" x14ac:dyDescent="0.3">
      <c r="A11" s="23">
        <f t="shared" si="0"/>
        <v>5</v>
      </c>
      <c r="B11" s="24">
        <v>5</v>
      </c>
      <c r="C11" s="25">
        <v>9</v>
      </c>
      <c r="D11" s="6" t="s">
        <v>53</v>
      </c>
      <c r="E11" s="26">
        <v>0</v>
      </c>
      <c r="F11" s="26">
        <v>0</v>
      </c>
      <c r="G11" s="27">
        <f>E11+F11</f>
        <v>0</v>
      </c>
      <c r="H11" s="26">
        <f t="shared" si="1"/>
        <v>0</v>
      </c>
      <c r="I11" s="27">
        <v>0</v>
      </c>
      <c r="J11" s="28">
        <f>I11/I17*100</f>
        <v>0</v>
      </c>
      <c r="K11" s="29">
        <f t="shared" si="2"/>
        <v>0</v>
      </c>
      <c r="L11" s="6">
        <v>98</v>
      </c>
      <c r="M11" s="6"/>
      <c r="N11" s="6"/>
      <c r="O11" s="6"/>
      <c r="P11" s="6"/>
      <c r="Q11" s="6">
        <v>0</v>
      </c>
      <c r="R11" s="29">
        <f t="shared" si="3"/>
        <v>0</v>
      </c>
      <c r="S11" s="31"/>
      <c r="T11" s="32" t="s">
        <v>54</v>
      </c>
      <c r="U11" s="47">
        <f>J5+J4</f>
        <v>33.333333333333336</v>
      </c>
      <c r="V11" s="38" t="s">
        <v>55</v>
      </c>
      <c r="W11" s="45">
        <f>SUM(W8:W10)</f>
        <v>654.89079130032405</v>
      </c>
      <c r="X11"/>
      <c r="Y11" s="45">
        <f>SUM(Y8:Y10)</f>
        <v>660.22940860670792</v>
      </c>
      <c r="Z11"/>
      <c r="AA11" s="45">
        <f>SUM(AA8:AA10)</f>
        <v>673.73421926910294</v>
      </c>
      <c r="AB11" s="18"/>
      <c r="AC11" s="18"/>
      <c r="AD11" s="42"/>
      <c r="AE11" s="18"/>
      <c r="AF11" s="18"/>
      <c r="AG11" s="18"/>
    </row>
    <row r="12" spans="1:33" ht="14.4" x14ac:dyDescent="0.3">
      <c r="A12" s="48">
        <f>+B12-H12</f>
        <v>-30.979000000000042</v>
      </c>
      <c r="B12" s="24">
        <v>701</v>
      </c>
      <c r="C12" s="25">
        <v>10</v>
      </c>
      <c r="D12" s="6" t="s">
        <v>56</v>
      </c>
      <c r="E12" s="49">
        <v>684.149</v>
      </c>
      <c r="F12" s="26">
        <v>282.83</v>
      </c>
      <c r="G12" s="27">
        <f>E12+F12</f>
        <v>966.97900000000004</v>
      </c>
      <c r="H12" s="49">
        <f>G12-I12</f>
        <v>731.97900000000004</v>
      </c>
      <c r="I12" s="46">
        <v>235</v>
      </c>
      <c r="J12" s="28">
        <f>I12/I17*100</f>
        <v>48.958333333333329</v>
      </c>
      <c r="K12" s="29">
        <f t="shared" si="2"/>
        <v>45.53125</v>
      </c>
      <c r="L12" s="6">
        <v>93</v>
      </c>
      <c r="M12" s="36"/>
      <c r="N12" s="6"/>
      <c r="O12" s="6"/>
      <c r="P12" s="6"/>
      <c r="Q12" s="6">
        <v>48</v>
      </c>
      <c r="R12" s="29">
        <f t="shared" si="3"/>
        <v>-0.9583333333333286</v>
      </c>
      <c r="S12" s="31" t="s">
        <v>57</v>
      </c>
      <c r="T12" s="32" t="s">
        <v>55</v>
      </c>
      <c r="U12" s="47">
        <f>U9+U10+U11</f>
        <v>660.22940860670792</v>
      </c>
      <c r="V12" s="38" t="s">
        <v>58</v>
      </c>
      <c r="W12" s="50">
        <v>16</v>
      </c>
      <c r="X12"/>
      <c r="Y12" s="50">
        <v>16</v>
      </c>
      <c r="Z12"/>
      <c r="AA12" s="50">
        <v>16</v>
      </c>
      <c r="AB12" s="18"/>
      <c r="AC12" s="18"/>
      <c r="AD12" s="42"/>
      <c r="AE12" s="18"/>
      <c r="AF12" s="18"/>
      <c r="AG12" s="18"/>
    </row>
    <row r="13" spans="1:33" ht="14.4" x14ac:dyDescent="0.3">
      <c r="A13" s="23">
        <f t="shared" si="0"/>
        <v>-0.94000000000000128</v>
      </c>
      <c r="B13" s="24">
        <v>19</v>
      </c>
      <c r="C13" s="25">
        <v>11</v>
      </c>
      <c r="D13" s="6" t="s">
        <v>60</v>
      </c>
      <c r="E13" s="26">
        <v>24.94</v>
      </c>
      <c r="F13" s="26">
        <v>0</v>
      </c>
      <c r="G13" s="27">
        <f>E13+F13</f>
        <v>24.94</v>
      </c>
      <c r="H13" s="26">
        <f>G13-I13</f>
        <v>19.940000000000001</v>
      </c>
      <c r="I13" s="27">
        <v>5</v>
      </c>
      <c r="J13" s="28">
        <f>I13/I17*100</f>
        <v>1.0416666666666665</v>
      </c>
      <c r="K13" s="29">
        <f t="shared" si="2"/>
        <v>0.71499999999999986</v>
      </c>
      <c r="L13" s="6">
        <v>68.64</v>
      </c>
      <c r="M13" s="24" t="s">
        <v>61</v>
      </c>
      <c r="N13" s="6">
        <v>12</v>
      </c>
      <c r="O13" s="6" t="s">
        <v>62</v>
      </c>
      <c r="P13" s="53"/>
      <c r="Q13" s="6">
        <v>2</v>
      </c>
      <c r="R13" s="29">
        <f t="shared" si="3"/>
        <v>0.95833333333333348</v>
      </c>
      <c r="S13" s="31">
        <v>5</v>
      </c>
      <c r="T13" s="32" t="s">
        <v>58</v>
      </c>
      <c r="U13" s="24">
        <v>20</v>
      </c>
      <c r="V13" s="38" t="s">
        <v>63</v>
      </c>
      <c r="W13" s="34">
        <v>10060</v>
      </c>
      <c r="X13"/>
      <c r="Y13" s="34">
        <v>10670</v>
      </c>
      <c r="Z13"/>
      <c r="AA13" s="34">
        <v>12000</v>
      </c>
      <c r="AB13" s="18"/>
      <c r="AC13" s="18"/>
      <c r="AD13" s="42"/>
      <c r="AE13" s="18"/>
      <c r="AF13" s="18"/>
      <c r="AG13" s="18"/>
    </row>
    <row r="14" spans="1:33" ht="14.4" x14ac:dyDescent="0.3">
      <c r="A14" s="23">
        <f t="shared" si="0"/>
        <v>21.880000000000003</v>
      </c>
      <c r="B14" s="24">
        <v>61</v>
      </c>
      <c r="C14" s="25">
        <v>12</v>
      </c>
      <c r="D14" s="6" t="s">
        <v>64</v>
      </c>
      <c r="E14" s="26">
        <v>43.98</v>
      </c>
      <c r="F14" s="26">
        <v>10.14</v>
      </c>
      <c r="G14" s="27">
        <f>E14+F14</f>
        <v>54.12</v>
      </c>
      <c r="H14" s="26">
        <f t="shared" si="1"/>
        <v>39.119999999999997</v>
      </c>
      <c r="I14" s="27">
        <v>15</v>
      </c>
      <c r="J14" s="28">
        <f>I14/I17*100</f>
        <v>3.125</v>
      </c>
      <c r="K14" s="29">
        <f>+J14*L14%</f>
        <v>3.0625</v>
      </c>
      <c r="L14" s="6">
        <v>98</v>
      </c>
      <c r="M14" s="6"/>
      <c r="N14" s="6"/>
      <c r="O14" s="6"/>
      <c r="P14" s="30"/>
      <c r="Q14" s="6">
        <v>3</v>
      </c>
      <c r="R14" s="29">
        <f t="shared" si="3"/>
        <v>-0.125</v>
      </c>
      <c r="S14" s="31">
        <v>6</v>
      </c>
      <c r="T14" s="32" t="s">
        <v>63</v>
      </c>
      <c r="U14" s="24">
        <v>12000</v>
      </c>
      <c r="V14" s="38" t="s">
        <v>65</v>
      </c>
      <c r="W14" s="54">
        <v>0.92</v>
      </c>
      <c r="X14"/>
      <c r="Y14" s="54">
        <v>0.92</v>
      </c>
      <c r="Z14"/>
      <c r="AA14" s="54">
        <v>0.92</v>
      </c>
      <c r="AB14" s="18"/>
      <c r="AC14" s="18"/>
      <c r="AD14" s="42"/>
      <c r="AE14" s="18"/>
      <c r="AF14" s="18"/>
      <c r="AG14" s="18"/>
    </row>
    <row r="15" spans="1:33" ht="14.4" x14ac:dyDescent="0.3">
      <c r="A15" s="23">
        <f t="shared" si="0"/>
        <v>0</v>
      </c>
      <c r="B15" s="24">
        <v>0</v>
      </c>
      <c r="C15" s="25">
        <v>13</v>
      </c>
      <c r="D15" s="6" t="s">
        <v>1</v>
      </c>
      <c r="E15" s="26">
        <v>0</v>
      </c>
      <c r="F15" s="26">
        <v>0</v>
      </c>
      <c r="G15" s="27">
        <f>E15+F15</f>
        <v>0</v>
      </c>
      <c r="H15" s="26">
        <f>G15-I15</f>
        <v>0</v>
      </c>
      <c r="I15" s="27">
        <v>0</v>
      </c>
      <c r="J15" s="28">
        <f>I15/I17*100</f>
        <v>0</v>
      </c>
      <c r="K15" s="29">
        <f>J15*L15</f>
        <v>0</v>
      </c>
      <c r="L15" s="55">
        <v>0.98</v>
      </c>
      <c r="M15" s="6"/>
      <c r="N15" s="6"/>
      <c r="O15" s="6"/>
      <c r="P15" s="30"/>
      <c r="Q15" s="6"/>
      <c r="R15" s="29"/>
      <c r="S15" s="31"/>
      <c r="T15" s="32"/>
      <c r="U15" s="24"/>
      <c r="V15" s="38"/>
      <c r="W15" s="54"/>
      <c r="X15"/>
      <c r="Y15" s="54"/>
      <c r="Z15"/>
      <c r="AA15" s="54"/>
      <c r="AB15" s="18"/>
      <c r="AC15" s="18"/>
      <c r="AD15" s="42"/>
      <c r="AE15" s="18"/>
      <c r="AF15" s="18"/>
      <c r="AG15" s="18"/>
    </row>
    <row r="16" spans="1:33" ht="14.4" x14ac:dyDescent="0.3">
      <c r="A16" s="23">
        <f>+B16-H16</f>
        <v>-1.0299999999999994</v>
      </c>
      <c r="B16" s="24">
        <v>5</v>
      </c>
      <c r="C16" s="25">
        <v>14</v>
      </c>
      <c r="D16" s="6" t="s">
        <v>66</v>
      </c>
      <c r="E16" s="26">
        <v>3.7199999999999998</v>
      </c>
      <c r="F16" s="26">
        <v>2.31</v>
      </c>
      <c r="G16" s="27">
        <f t="shared" si="4"/>
        <v>6.0299999999999994</v>
      </c>
      <c r="H16" s="26">
        <f t="shared" si="1"/>
        <v>6.0299999999999994</v>
      </c>
      <c r="I16" s="27">
        <v>0</v>
      </c>
      <c r="J16" s="28">
        <f>I16/I17*100</f>
        <v>0</v>
      </c>
      <c r="K16" s="29">
        <f>+J16*L16%</f>
        <v>0</v>
      </c>
      <c r="L16" s="6">
        <v>94</v>
      </c>
      <c r="M16" s="8" t="s">
        <v>67</v>
      </c>
      <c r="N16" s="6" t="s">
        <v>68</v>
      </c>
      <c r="O16" s="36" t="s">
        <v>69</v>
      </c>
      <c r="P16" s="6"/>
      <c r="Q16" s="6"/>
      <c r="R16" s="29"/>
      <c r="S16" s="31">
        <v>7</v>
      </c>
      <c r="T16" s="32" t="s">
        <v>65</v>
      </c>
      <c r="U16" s="56">
        <v>0.9</v>
      </c>
      <c r="V16" s="57" t="s">
        <v>70</v>
      </c>
      <c r="W16" s="58">
        <f>(W13*W14)/(W11-W10)</f>
        <v>14.577625202350729</v>
      </c>
      <c r="X16"/>
      <c r="Y16" s="58">
        <f>(Y13*Y14)/(Y11-Y10)</f>
        <v>15.658735773260823</v>
      </c>
      <c r="Z16"/>
      <c r="AA16" s="58">
        <f>(AA13*AA14)/(AA11-AA10)</f>
        <v>17.017754994392352</v>
      </c>
      <c r="AB16" s="18"/>
      <c r="AC16" s="18"/>
      <c r="AD16" s="42"/>
      <c r="AE16" s="18"/>
      <c r="AF16" s="18"/>
      <c r="AG16" s="18"/>
    </row>
    <row r="17" spans="1:33" ht="14.4" x14ac:dyDescent="0.3">
      <c r="A17" s="59">
        <f>+B17-H17</f>
        <v>96.736000000000104</v>
      </c>
      <c r="B17" s="6">
        <f>SUM(B3:B14)+B16</f>
        <v>2028</v>
      </c>
      <c r="C17" s="8"/>
      <c r="D17" s="6" t="s">
        <v>10</v>
      </c>
      <c r="E17" s="26">
        <f>SUM(E3:E16)</f>
        <v>1905.144</v>
      </c>
      <c r="F17" s="27">
        <f>SUM(F3:F16)</f>
        <v>506.11999999999995</v>
      </c>
      <c r="G17" s="27">
        <f>E17+F17</f>
        <v>2411.2640000000001</v>
      </c>
      <c r="H17" s="26">
        <f>SUM(H3:H16)</f>
        <v>1931.2639999999999</v>
      </c>
      <c r="I17" s="27">
        <f>SUM(I3:I16)</f>
        <v>480</v>
      </c>
      <c r="J17" s="28">
        <f>SUM(J3:J16)</f>
        <v>100</v>
      </c>
      <c r="K17" s="29">
        <f>SUM(K3:K16)</f>
        <v>85.980104166666678</v>
      </c>
      <c r="L17" s="6"/>
      <c r="M17" s="30">
        <f>+O2/I17*100</f>
        <v>86.019791666666663</v>
      </c>
      <c r="N17" s="60">
        <f>+K17</f>
        <v>85.980104166666678</v>
      </c>
      <c r="O17" s="27">
        <f>+M17-N17</f>
        <v>3.9687499999985221E-2</v>
      </c>
      <c r="P17" s="36">
        <f>1036+27</f>
        <v>1063</v>
      </c>
      <c r="Q17" s="6">
        <f>SUM(Q3:Q16)</f>
        <v>100</v>
      </c>
      <c r="R17" s="29">
        <f t="shared" si="3"/>
        <v>0</v>
      </c>
      <c r="S17" s="31">
        <v>8</v>
      </c>
      <c r="T17" s="32" t="s">
        <v>70</v>
      </c>
      <c r="U17" s="61">
        <f>(U14*U16)/(U12-U11)</f>
        <v>17.22773586561437</v>
      </c>
      <c r="V17" s="38" t="s">
        <v>71</v>
      </c>
      <c r="W17" s="50">
        <v>34</v>
      </c>
      <c r="X17"/>
      <c r="Y17" s="50">
        <v>34</v>
      </c>
      <c r="Z17"/>
      <c r="AA17" s="50">
        <v>34</v>
      </c>
      <c r="AB17" s="18"/>
      <c r="AC17" s="18"/>
      <c r="AD17" s="18"/>
      <c r="AE17" s="18"/>
      <c r="AF17" s="18"/>
      <c r="AG17" s="18"/>
    </row>
    <row r="18" spans="1:33" ht="14.4" x14ac:dyDescent="0.3">
      <c r="A18" s="62"/>
      <c r="B18" s="63">
        <f>+H17-B17</f>
        <v>-96.736000000000104</v>
      </c>
      <c r="C18" s="8"/>
      <c r="D18" s="6"/>
      <c r="E18" s="26"/>
      <c r="F18" s="27"/>
      <c r="G18" s="27"/>
      <c r="H18" s="26"/>
      <c r="I18" s="27"/>
      <c r="J18" s="28" t="s">
        <v>72</v>
      </c>
      <c r="K18" s="64">
        <f>P2/M3</f>
        <v>1.3369016335872315E-2</v>
      </c>
      <c r="L18" s="6"/>
      <c r="M18" s="30"/>
      <c r="N18" s="60"/>
      <c r="O18" s="27"/>
      <c r="P18" s="36">
        <f>+P17-P19</f>
        <v>285.87099999999998</v>
      </c>
      <c r="Q18" s="6"/>
      <c r="R18" s="29"/>
      <c r="S18" s="31"/>
      <c r="T18" s="32"/>
      <c r="U18" s="61"/>
      <c r="V18" s="38"/>
      <c r="W18" s="50"/>
      <c r="X18"/>
      <c r="Y18" s="50"/>
      <c r="Z18"/>
      <c r="AA18" s="50"/>
      <c r="AB18" s="18"/>
      <c r="AC18" s="18"/>
      <c r="AD18" s="18"/>
      <c r="AE18" s="18"/>
      <c r="AF18" s="18"/>
      <c r="AG18" s="18"/>
    </row>
    <row r="19" spans="1:33" ht="23.4" x14ac:dyDescent="0.45">
      <c r="A19" s="6">
        <f>B3+B4+B5+B13</f>
        <v>847</v>
      </c>
      <c r="B19" s="6">
        <f>B12+B14+B16</f>
        <v>767</v>
      </c>
      <c r="C19" s="8"/>
      <c r="D19" s="6" t="s">
        <v>73</v>
      </c>
      <c r="E19" s="27">
        <v>0</v>
      </c>
      <c r="F19" s="27">
        <v>0</v>
      </c>
      <c r="G19" s="27">
        <f>+E19+F19</f>
        <v>0</v>
      </c>
      <c r="H19" s="27">
        <f>G19-I19</f>
        <v>0</v>
      </c>
      <c r="I19" s="27">
        <f>F19</f>
        <v>0</v>
      </c>
      <c r="J19" s="65"/>
      <c r="K19" s="29"/>
      <c r="L19" s="6" t="s">
        <v>74</v>
      </c>
      <c r="M19" s="25" t="s">
        <v>75</v>
      </c>
      <c r="N19" s="66">
        <f>H3+H4+H5+H13+H10</f>
        <v>801.56</v>
      </c>
      <c r="O19" s="65" t="s">
        <v>76</v>
      </c>
      <c r="P19" s="67">
        <f>H12+H14+H16</f>
        <v>777.12900000000002</v>
      </c>
      <c r="Q19" s="27">
        <f>+P19+N19</f>
        <v>1578.6889999999999</v>
      </c>
      <c r="R19" s="68"/>
      <c r="S19" s="31">
        <v>9</v>
      </c>
      <c r="T19" s="32" t="s">
        <v>71</v>
      </c>
      <c r="U19" s="24">
        <v>34</v>
      </c>
      <c r="V19" s="38" t="s">
        <v>77</v>
      </c>
      <c r="W19" s="69">
        <f>W17*60/W16</f>
        <v>139.94048904968676</v>
      </c>
      <c r="X19"/>
      <c r="Y19" s="69">
        <f>Y17*60/Y16</f>
        <v>130.27871659240498</v>
      </c>
      <c r="Z19"/>
      <c r="AA19" s="69">
        <f>AA17*60/AA16</f>
        <v>119.87480138668207</v>
      </c>
      <c r="AB19" s="18"/>
      <c r="AC19" s="18"/>
      <c r="AD19" s="18"/>
      <c r="AE19" s="18"/>
      <c r="AF19" s="18"/>
      <c r="AG19" s="18"/>
    </row>
    <row r="20" spans="1:33" ht="14.4" x14ac:dyDescent="0.3">
      <c r="A20" s="63">
        <f>A19-N19</f>
        <v>45.440000000000055</v>
      </c>
      <c r="B20" s="70">
        <f>B19-P19</f>
        <v>-10.129000000000019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31">
        <v>10</v>
      </c>
      <c r="T20" s="32" t="s">
        <v>77</v>
      </c>
      <c r="U20" s="71">
        <f>U19*60/U17</f>
        <v>118.41370310719296</v>
      </c>
      <c r="V20" s="57" t="s">
        <v>78</v>
      </c>
      <c r="W20" s="72">
        <v>5</v>
      </c>
      <c r="X20"/>
      <c r="Y20" s="72">
        <v>12</v>
      </c>
      <c r="Z20"/>
      <c r="AA20" s="72">
        <v>15</v>
      </c>
      <c r="AB20" s="18"/>
      <c r="AC20" s="18"/>
      <c r="AD20" s="18"/>
      <c r="AE20" s="18"/>
      <c r="AF20" s="18"/>
      <c r="AG20" s="18"/>
    </row>
    <row r="21" spans="1:33" ht="42" x14ac:dyDescent="0.3">
      <c r="A21" s="73"/>
      <c r="B21" s="74"/>
      <c r="C21" s="74"/>
      <c r="H21" s="2"/>
      <c r="S21" s="8">
        <v>11</v>
      </c>
      <c r="T21" s="32" t="s">
        <v>78</v>
      </c>
      <c r="U21" s="75">
        <v>6</v>
      </c>
      <c r="V21" s="57" t="s">
        <v>79</v>
      </c>
      <c r="W21" s="72">
        <f>W20+W19</f>
        <v>144.94048904968676</v>
      </c>
      <c r="X21"/>
      <c r="Y21" s="72">
        <f>Y20+Y19</f>
        <v>142.27871659240498</v>
      </c>
      <c r="Z21"/>
      <c r="AA21" s="72">
        <f>AA20+AA19</f>
        <v>134.87480138668207</v>
      </c>
      <c r="AB21" s="18"/>
      <c r="AC21" s="18"/>
      <c r="AD21" s="18"/>
      <c r="AE21" s="18"/>
      <c r="AF21" s="18"/>
      <c r="AG21" s="18"/>
    </row>
    <row r="22" spans="1:33" s="82" customFormat="1" ht="14.4" x14ac:dyDescent="0.3">
      <c r="A22" s="76"/>
      <c r="B22" s="77">
        <f>A12+A16</f>
        <v>-32.009000000000043</v>
      </c>
      <c r="C22" s="78"/>
      <c r="D22" s="2"/>
      <c r="E22" s="79">
        <f>H12+H14+H16</f>
        <v>777.12900000000002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6">
        <v>12</v>
      </c>
      <c r="T22" s="32" t="s">
        <v>79</v>
      </c>
      <c r="U22" s="71">
        <f>U21+U20</f>
        <v>124.41370310719296</v>
      </c>
      <c r="V22" s="38" t="s">
        <v>80</v>
      </c>
      <c r="W22" s="80">
        <f>24*60/W21</f>
        <v>9.9351120548955549</v>
      </c>
      <c r="X22"/>
      <c r="Y22" s="80">
        <f>24*60/Y21</f>
        <v>10.120979683315959</v>
      </c>
      <c r="Z22"/>
      <c r="AA22" s="80">
        <f>24*60/AA21</f>
        <v>10.676568085327983</v>
      </c>
      <c r="AB22" s="81"/>
      <c r="AC22" s="81"/>
      <c r="AD22" s="81"/>
      <c r="AE22" s="81"/>
      <c r="AF22" s="81"/>
      <c r="AG22" s="81"/>
    </row>
    <row r="23" spans="1:33" ht="14.4" x14ac:dyDescent="0.3">
      <c r="A23" s="83"/>
      <c r="B23" s="84"/>
      <c r="C23" s="84"/>
      <c r="E23" s="2">
        <f>B12+B14+B16</f>
        <v>767</v>
      </c>
      <c r="H23" s="2"/>
      <c r="S23" s="6">
        <v>13</v>
      </c>
      <c r="T23" s="32" t="s">
        <v>80</v>
      </c>
      <c r="U23" s="85">
        <f>24*60/U22</f>
        <v>11.574287751561561</v>
      </c>
      <c r="V23" s="57" t="s">
        <v>81</v>
      </c>
      <c r="W23" s="86">
        <f>W22*W17</f>
        <v>337.7938098664489</v>
      </c>
      <c r="X23"/>
      <c r="Y23" s="86">
        <f>Y22*Y17</f>
        <v>344.11330923274261</v>
      </c>
      <c r="Z23"/>
      <c r="AA23" s="86">
        <f>AA22*AA17</f>
        <v>363.00331490115138</v>
      </c>
      <c r="AB23" s="18"/>
      <c r="AC23" s="18"/>
      <c r="AD23" s="18"/>
      <c r="AE23" s="18"/>
      <c r="AF23" s="18"/>
      <c r="AG23" s="18"/>
    </row>
    <row r="24" spans="1:33" ht="15" thickBot="1" x14ac:dyDescent="0.35">
      <c r="A24" s="73"/>
      <c r="B24" s="74"/>
      <c r="C24" s="87"/>
      <c r="E24" s="79">
        <f>E23-E22</f>
        <v>-10.129000000000019</v>
      </c>
      <c r="H24" s="2"/>
      <c r="S24" s="6">
        <v>14</v>
      </c>
      <c r="T24" s="88" t="s">
        <v>81</v>
      </c>
      <c r="U24" s="89">
        <f>U23*U19</f>
        <v>393.52578355309311</v>
      </c>
      <c r="V24" s="57" t="s">
        <v>82</v>
      </c>
      <c r="W24" s="3">
        <v>65</v>
      </c>
      <c r="X24"/>
      <c r="Y24" s="90">
        <f>+W23*W24/Y23</f>
        <v>63.806301739026125</v>
      </c>
      <c r="Z24" s="91"/>
      <c r="AA24" s="90">
        <f>+Y23*Y24/AA23</f>
        <v>60.485942524514222</v>
      </c>
      <c r="AB24" s="18"/>
      <c r="AC24" s="18"/>
      <c r="AD24" s="18"/>
      <c r="AE24" s="18"/>
      <c r="AF24" s="18"/>
      <c r="AG24" s="18"/>
    </row>
    <row r="25" spans="1:33" ht="13.8" x14ac:dyDescent="0.3">
      <c r="A25" s="83"/>
      <c r="B25" s="92"/>
      <c r="C25" s="87"/>
      <c r="H25" s="2"/>
      <c r="S25" s="18"/>
      <c r="T25" s="93"/>
      <c r="U25" s="94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1:33" ht="13.8" x14ac:dyDescent="0.3">
      <c r="A26" s="83"/>
      <c r="B26" s="95"/>
      <c r="C26" s="87"/>
      <c r="H26" s="2"/>
      <c r="S26" s="18"/>
      <c r="T26" s="81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 x14ac:dyDescent="0.2">
      <c r="C27" s="81"/>
      <c r="S27" s="18"/>
      <c r="T27" s="81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 x14ac:dyDescent="0.2">
      <c r="C28" s="81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</sheetData>
  <mergeCells count="3">
    <mergeCell ref="A1:N1"/>
    <mergeCell ref="T1:U1"/>
    <mergeCell ref="C20:R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ECF3-23BC-41DB-BB33-E0FA94CB14A1}">
  <dimension ref="A1:AG28"/>
  <sheetViews>
    <sheetView zoomScale="160" zoomScaleNormal="160" workbookViewId="0">
      <selection activeCell="H17" sqref="H17"/>
    </sheetView>
  </sheetViews>
  <sheetFormatPr defaultColWidth="9.109375" defaultRowHeight="10.199999999999999" x14ac:dyDescent="0.2"/>
  <cols>
    <col min="1" max="1" width="14.109375" style="2" bestFit="1" customWidth="1"/>
    <col min="2" max="2" width="7.88671875" style="2" bestFit="1" customWidth="1"/>
    <col min="3" max="3" width="8.44140625" style="82" bestFit="1" customWidth="1"/>
    <col min="4" max="4" width="17.5546875" style="2" bestFit="1" customWidth="1"/>
    <col min="5" max="5" width="10.88671875" style="2" bestFit="1" customWidth="1"/>
    <col min="6" max="6" width="7.33203125" style="2" bestFit="1" customWidth="1"/>
    <col min="7" max="7" width="9.109375" style="2"/>
    <col min="8" max="8" width="10" style="82" customWidth="1"/>
    <col min="9" max="9" width="9.5546875" style="2" bestFit="1" customWidth="1"/>
    <col min="10" max="10" width="10.44140625" style="2" bestFit="1" customWidth="1"/>
    <col min="11" max="11" width="12" style="2" customWidth="1"/>
    <col min="12" max="12" width="10.109375" style="2" bestFit="1" customWidth="1"/>
    <col min="13" max="13" width="10.5546875" style="2" bestFit="1" customWidth="1"/>
    <col min="14" max="14" width="15" style="2" customWidth="1"/>
    <col min="15" max="15" width="12.109375" style="2" customWidth="1"/>
    <col min="16" max="16" width="15.33203125" style="2" customWidth="1"/>
    <col min="17" max="17" width="7.44140625" style="2" bestFit="1" customWidth="1"/>
    <col min="18" max="18" width="7.6640625" style="2" customWidth="1"/>
    <col min="19" max="19" width="5.33203125" style="2" bestFit="1" customWidth="1"/>
    <col min="20" max="20" width="27.5546875" style="82" customWidth="1"/>
    <col min="21" max="21" width="11.44140625" style="2" bestFit="1" customWidth="1"/>
    <col min="22" max="22" width="30.88671875" style="2" customWidth="1"/>
    <col min="23" max="23" width="11.44140625" style="2" bestFit="1" customWidth="1"/>
    <col min="24" max="24" width="6.109375" style="2" bestFit="1" customWidth="1"/>
    <col min="25" max="25" width="11.44140625" style="2" bestFit="1" customWidth="1"/>
    <col min="26" max="26" width="5.44140625" style="2" bestFit="1" customWidth="1"/>
    <col min="27" max="27" width="11.44140625" style="2" bestFit="1" customWidth="1"/>
    <col min="28" max="28" width="6.6640625" style="2" bestFit="1" customWidth="1"/>
    <col min="29" max="29" width="5.5546875" style="2" bestFit="1" customWidth="1"/>
    <col min="30" max="30" width="7" style="2" bestFit="1" customWidth="1"/>
    <col min="31" max="31" width="4.44140625" style="2" bestFit="1" customWidth="1"/>
    <col min="32" max="16384" width="9.109375" style="2"/>
  </cols>
  <sheetData>
    <row r="1" spans="1:33" ht="15" thickBot="1" x14ac:dyDescent="0.35">
      <c r="A1" s="96" t="s">
        <v>90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1" t="s">
        <v>0</v>
      </c>
      <c r="P1" s="1" t="s">
        <v>1</v>
      </c>
      <c r="Q1" s="1"/>
      <c r="R1" s="1"/>
      <c r="T1" s="97" t="s">
        <v>2</v>
      </c>
      <c r="U1" s="98"/>
      <c r="V1" s="3" t="s">
        <v>3</v>
      </c>
      <c r="W1" s="4">
        <v>0.5</v>
      </c>
      <c r="X1"/>
      <c r="Y1" s="5">
        <v>0.4</v>
      </c>
      <c r="Z1"/>
      <c r="AA1" s="5">
        <v>0.3</v>
      </c>
    </row>
    <row r="2" spans="1:33" ht="14.4" x14ac:dyDescent="0.3">
      <c r="A2" s="6" t="s">
        <v>4</v>
      </c>
      <c r="B2" s="7" t="s">
        <v>5</v>
      </c>
      <c r="C2" s="8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8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9" t="s">
        <v>17</v>
      </c>
      <c r="O2" s="10">
        <v>414.60599999999999</v>
      </c>
      <c r="P2" s="11">
        <v>3.9</v>
      </c>
      <c r="Q2" s="6" t="s">
        <v>18</v>
      </c>
      <c r="R2" s="6" t="s">
        <v>19</v>
      </c>
      <c r="S2" s="12" t="s">
        <v>20</v>
      </c>
      <c r="T2" s="13" t="s">
        <v>21</v>
      </c>
      <c r="U2" s="14" t="s">
        <v>22</v>
      </c>
      <c r="V2" s="15" t="s">
        <v>21</v>
      </c>
      <c r="W2" s="16" t="s">
        <v>22</v>
      </c>
      <c r="X2"/>
      <c r="Y2" s="17" t="s">
        <v>22</v>
      </c>
      <c r="Z2"/>
      <c r="AA2" s="17" t="s">
        <v>22</v>
      </c>
      <c r="AB2" s="18"/>
      <c r="AC2" s="18"/>
      <c r="AD2" s="19"/>
      <c r="AE2" s="20"/>
      <c r="AF2" s="21"/>
      <c r="AG2" s="22"/>
    </row>
    <row r="3" spans="1:33" ht="14.4" x14ac:dyDescent="0.3">
      <c r="A3" s="23">
        <f>+B3-H3</f>
        <v>31.009999999999991</v>
      </c>
      <c r="B3" s="24">
        <v>419</v>
      </c>
      <c r="C3" s="25">
        <v>1</v>
      </c>
      <c r="D3" s="6" t="s">
        <v>23</v>
      </c>
      <c r="E3" s="26">
        <v>325.22000000000003</v>
      </c>
      <c r="F3" s="26">
        <v>122.77</v>
      </c>
      <c r="G3" s="27">
        <f>E3+F3</f>
        <v>447.99</v>
      </c>
      <c r="H3" s="26">
        <f>G3-I3</f>
        <v>387.99</v>
      </c>
      <c r="I3" s="27">
        <v>60</v>
      </c>
      <c r="J3" s="28">
        <f>I3/I17*100</f>
        <v>12.396694214876034</v>
      </c>
      <c r="K3" s="29">
        <f>+J3*L3%</f>
        <v>9.8888429752066109</v>
      </c>
      <c r="L3" s="30">
        <v>79.77</v>
      </c>
      <c r="M3" s="27">
        <v>412.89499999999998</v>
      </c>
      <c r="N3" s="28">
        <f>U24</f>
        <v>390.90632149343196</v>
      </c>
      <c r="O3" s="30" t="s">
        <v>24</v>
      </c>
      <c r="P3" s="27" t="s">
        <v>25</v>
      </c>
      <c r="Q3" s="6">
        <v>16</v>
      </c>
      <c r="R3" s="29">
        <f>Q3-J3</f>
        <v>3.6033057851239665</v>
      </c>
      <c r="S3" s="31"/>
      <c r="T3" s="32" t="s">
        <v>26</v>
      </c>
      <c r="U3" s="24">
        <v>30</v>
      </c>
      <c r="V3" s="33" t="s">
        <v>26</v>
      </c>
      <c r="W3" s="34">
        <v>30</v>
      </c>
      <c r="X3"/>
      <c r="Y3" s="34">
        <v>30</v>
      </c>
      <c r="Z3"/>
      <c r="AA3" s="34">
        <v>30</v>
      </c>
      <c r="AB3" s="18"/>
      <c r="AC3" s="18"/>
      <c r="AD3" s="18"/>
      <c r="AE3" s="35"/>
      <c r="AF3" s="18"/>
      <c r="AG3" s="18"/>
    </row>
    <row r="4" spans="1:33" ht="14.4" x14ac:dyDescent="0.3">
      <c r="A4" s="23">
        <f t="shared" ref="A4:A15" si="0">+B4-H4</f>
        <v>-10.639999999999986</v>
      </c>
      <c r="B4" s="24">
        <v>246</v>
      </c>
      <c r="C4" s="25">
        <v>2</v>
      </c>
      <c r="D4" s="6" t="s">
        <v>27</v>
      </c>
      <c r="E4" s="26">
        <v>265.11</v>
      </c>
      <c r="F4" s="26">
        <v>53.53</v>
      </c>
      <c r="G4" s="27">
        <f>E4+F4</f>
        <v>318.64</v>
      </c>
      <c r="H4" s="26">
        <f t="shared" ref="H4:H16" si="1">G4-I4</f>
        <v>256.64</v>
      </c>
      <c r="I4" s="27">
        <v>62</v>
      </c>
      <c r="J4" s="28">
        <f>I4/I17*100</f>
        <v>12.809917355371899</v>
      </c>
      <c r="K4" s="29">
        <f t="shared" ref="K4:K13" si="2">+J4*L4%</f>
        <v>9.7124793388429733</v>
      </c>
      <c r="L4" s="30">
        <v>75.819999999999993</v>
      </c>
      <c r="M4" s="6" t="s">
        <v>28</v>
      </c>
      <c r="N4" s="6" t="s">
        <v>29</v>
      </c>
      <c r="O4" s="36">
        <v>271922</v>
      </c>
      <c r="P4" s="36">
        <v>24235</v>
      </c>
      <c r="Q4" s="6">
        <v>13</v>
      </c>
      <c r="R4" s="29">
        <f t="shared" ref="R4:R17" si="3">Q4-J4</f>
        <v>0.19008264462810054</v>
      </c>
      <c r="S4" s="31">
        <v>1</v>
      </c>
      <c r="T4" s="32" t="s">
        <v>30</v>
      </c>
      <c r="U4" s="37">
        <f>M17</f>
        <v>85.662396694214877</v>
      </c>
      <c r="V4" s="38" t="s">
        <v>30</v>
      </c>
      <c r="W4" s="39">
        <v>86.44</v>
      </c>
      <c r="X4"/>
      <c r="Y4" s="39">
        <f>U4</f>
        <v>85.662396694214877</v>
      </c>
      <c r="Z4"/>
      <c r="AA4" s="39">
        <v>84.28</v>
      </c>
      <c r="AB4" s="18"/>
      <c r="AC4" s="18"/>
      <c r="AD4" s="18"/>
      <c r="AE4" s="18"/>
      <c r="AF4" s="18"/>
      <c r="AG4" s="18"/>
    </row>
    <row r="5" spans="1:33" ht="14.4" x14ac:dyDescent="0.3">
      <c r="A5" s="23">
        <f t="shared" si="0"/>
        <v>26.509999999999991</v>
      </c>
      <c r="B5" s="24">
        <v>170</v>
      </c>
      <c r="C5" s="25">
        <v>3</v>
      </c>
      <c r="D5" s="6" t="s">
        <v>31</v>
      </c>
      <c r="E5" s="26">
        <v>191.29</v>
      </c>
      <c r="F5" s="26">
        <v>62.2</v>
      </c>
      <c r="G5" s="27">
        <f>E5+F5</f>
        <v>253.49</v>
      </c>
      <c r="H5" s="26">
        <f t="shared" si="1"/>
        <v>143.49</v>
      </c>
      <c r="I5" s="27">
        <v>110</v>
      </c>
      <c r="J5" s="28">
        <f>I5/I17*100</f>
        <v>22.727272727272727</v>
      </c>
      <c r="K5" s="29">
        <f t="shared" si="2"/>
        <v>17.968181818181819</v>
      </c>
      <c r="L5" s="30">
        <v>79.06</v>
      </c>
      <c r="M5" s="36">
        <f>O4/O2</f>
        <v>655.85640342879742</v>
      </c>
      <c r="N5" s="36">
        <f>+U12</f>
        <v>666.8469492274711</v>
      </c>
      <c r="O5" s="36">
        <f>+N5-M5</f>
        <v>10.990545798673679</v>
      </c>
      <c r="P5" s="36">
        <f>+P4/O2</f>
        <v>58.453085580044672</v>
      </c>
      <c r="Q5" s="6">
        <v>18</v>
      </c>
      <c r="R5" s="29">
        <f t="shared" si="3"/>
        <v>-4.7272727272727266</v>
      </c>
      <c r="S5" s="31"/>
      <c r="T5" s="32" t="s">
        <v>32</v>
      </c>
      <c r="U5" s="40" t="s">
        <v>33</v>
      </c>
      <c r="V5" s="38" t="s">
        <v>32</v>
      </c>
      <c r="W5" s="41" t="s">
        <v>33</v>
      </c>
      <c r="X5"/>
      <c r="Y5" s="41" t="s">
        <v>33</v>
      </c>
      <c r="Z5"/>
      <c r="AA5" s="41" t="s">
        <v>33</v>
      </c>
      <c r="AB5" s="18"/>
      <c r="AC5" s="18"/>
      <c r="AD5" s="42"/>
      <c r="AE5" s="18"/>
      <c r="AF5" s="18"/>
      <c r="AG5" s="18"/>
    </row>
    <row r="6" spans="1:33" ht="14.4" x14ac:dyDescent="0.3">
      <c r="A6" s="23">
        <f t="shared" si="0"/>
        <v>36.449999999999989</v>
      </c>
      <c r="B6" s="24">
        <v>351</v>
      </c>
      <c r="C6" s="25">
        <v>4</v>
      </c>
      <c r="D6" s="6" t="s">
        <v>34</v>
      </c>
      <c r="E6" s="26">
        <v>314.55</v>
      </c>
      <c r="F6" s="26">
        <v>0</v>
      </c>
      <c r="G6" s="27">
        <f t="shared" ref="G6:G16" si="4">E6+F6</f>
        <v>314.55</v>
      </c>
      <c r="H6" s="26">
        <f>G6-I6</f>
        <v>314.55</v>
      </c>
      <c r="I6" s="27">
        <v>0</v>
      </c>
      <c r="J6" s="28">
        <f>I6/I17*100</f>
        <v>0</v>
      </c>
      <c r="K6" s="29">
        <f t="shared" si="2"/>
        <v>0</v>
      </c>
      <c r="L6" s="6">
        <v>94</v>
      </c>
      <c r="M6" s="6" t="s">
        <v>35</v>
      </c>
      <c r="N6" s="6"/>
      <c r="O6" s="6" t="s">
        <v>36</v>
      </c>
      <c r="P6" s="6">
        <v>2699</v>
      </c>
      <c r="Q6" s="6">
        <v>0</v>
      </c>
      <c r="R6" s="29">
        <f t="shared" si="3"/>
        <v>0</v>
      </c>
      <c r="S6" s="31"/>
      <c r="T6" s="32" t="s">
        <v>37</v>
      </c>
      <c r="U6" s="40" t="s">
        <v>38</v>
      </c>
      <c r="V6" s="38" t="s">
        <v>37</v>
      </c>
      <c r="W6" s="41" t="s">
        <v>39</v>
      </c>
      <c r="X6"/>
      <c r="Y6" s="41" t="s">
        <v>39</v>
      </c>
      <c r="Z6"/>
      <c r="AA6" s="41" t="s">
        <v>39</v>
      </c>
      <c r="AB6" s="43"/>
      <c r="AC6" s="44"/>
      <c r="AD6" s="44"/>
      <c r="AE6" s="44"/>
      <c r="AF6" s="18"/>
      <c r="AG6" s="18"/>
    </row>
    <row r="7" spans="1:33" ht="14.4" x14ac:dyDescent="0.3">
      <c r="A7" s="23">
        <v>0</v>
      </c>
      <c r="B7" s="24">
        <v>0</v>
      </c>
      <c r="C7" s="25">
        <v>5</v>
      </c>
      <c r="D7" s="6" t="s">
        <v>40</v>
      </c>
      <c r="E7" s="26">
        <v>0</v>
      </c>
      <c r="F7" s="26">
        <v>0</v>
      </c>
      <c r="G7" s="27">
        <f t="shared" si="4"/>
        <v>0</v>
      </c>
      <c r="H7" s="26">
        <f t="shared" si="1"/>
        <v>0</v>
      </c>
      <c r="I7" s="27">
        <v>0</v>
      </c>
      <c r="J7" s="28">
        <f>I7/I17*100</f>
        <v>0</v>
      </c>
      <c r="K7" s="29">
        <f t="shared" si="2"/>
        <v>0</v>
      </c>
      <c r="L7" s="6">
        <v>88</v>
      </c>
      <c r="M7" s="36">
        <f>+P5+P8</f>
        <v>64.962880421412137</v>
      </c>
      <c r="N7" s="36">
        <v>67</v>
      </c>
      <c r="O7" s="36">
        <f>+N7-M7</f>
        <v>2.0371195785878626</v>
      </c>
      <c r="P7" s="36"/>
      <c r="Q7" s="6">
        <v>0</v>
      </c>
      <c r="R7" s="29">
        <f t="shared" si="3"/>
        <v>0</v>
      </c>
      <c r="S7" s="31">
        <v>2</v>
      </c>
      <c r="T7" s="32" t="s">
        <v>41</v>
      </c>
      <c r="U7" s="40">
        <v>455</v>
      </c>
      <c r="V7" s="38" t="s">
        <v>41</v>
      </c>
      <c r="W7" s="41">
        <v>465</v>
      </c>
      <c r="X7"/>
      <c r="Y7" s="41">
        <v>455</v>
      </c>
      <c r="Z7"/>
      <c r="AA7" s="41">
        <v>455</v>
      </c>
      <c r="AB7" s="18"/>
      <c r="AC7" s="18"/>
      <c r="AD7" s="42"/>
      <c r="AE7" s="18"/>
      <c r="AF7" s="18"/>
      <c r="AG7" s="18"/>
    </row>
    <row r="8" spans="1:33" ht="14.4" x14ac:dyDescent="0.3">
      <c r="A8" s="23">
        <f t="shared" si="0"/>
        <v>20.274999999999999</v>
      </c>
      <c r="B8" s="24">
        <v>63</v>
      </c>
      <c r="C8" s="25">
        <v>6</v>
      </c>
      <c r="D8" s="6" t="s">
        <v>42</v>
      </c>
      <c r="E8" s="26">
        <v>38.024999999999999</v>
      </c>
      <c r="F8" s="26">
        <v>4.7</v>
      </c>
      <c r="G8" s="27">
        <f t="shared" si="4"/>
        <v>42.725000000000001</v>
      </c>
      <c r="H8" s="26">
        <f t="shared" si="1"/>
        <v>42.725000000000001</v>
      </c>
      <c r="I8" s="27">
        <v>0</v>
      </c>
      <c r="J8" s="28">
        <f>I8/I17*100</f>
        <v>0</v>
      </c>
      <c r="K8" s="29">
        <f t="shared" si="2"/>
        <v>0</v>
      </c>
      <c r="L8" s="6">
        <v>90</v>
      </c>
      <c r="M8" s="30" t="s">
        <v>43</v>
      </c>
      <c r="N8" s="30" t="s">
        <v>44</v>
      </c>
      <c r="O8" s="6" t="s">
        <v>45</v>
      </c>
      <c r="P8" s="36">
        <f>+P6/O2</f>
        <v>6.5097948413674667</v>
      </c>
      <c r="Q8" s="6">
        <v>0</v>
      </c>
      <c r="R8" s="29">
        <f t="shared" si="3"/>
        <v>0</v>
      </c>
      <c r="S8" s="31"/>
      <c r="T8" s="32"/>
      <c r="U8" s="40"/>
      <c r="V8" s="38" t="s">
        <v>46</v>
      </c>
      <c r="W8" s="45">
        <f>((W7*(2-W4/100))/(W4/100))</f>
        <v>610.89079130032405</v>
      </c>
      <c r="X8"/>
      <c r="Y8" s="45">
        <f>((Y7*(2-Y4/100))/(Y4/100))</f>
        <v>607.30975914482644</v>
      </c>
      <c r="Z8"/>
      <c r="AA8" s="45">
        <f>((AA7*(2-AA4/100))/(AA4/100))</f>
        <v>624.73421926910294</v>
      </c>
      <c r="AB8" s="18"/>
      <c r="AC8" s="18"/>
      <c r="AD8" s="42"/>
      <c r="AE8" s="18"/>
      <c r="AF8" s="18"/>
      <c r="AG8" s="18"/>
    </row>
    <row r="9" spans="1:33" ht="14.4" x14ac:dyDescent="0.3">
      <c r="A9" s="23">
        <f t="shared" si="0"/>
        <v>0</v>
      </c>
      <c r="B9" s="24">
        <v>0</v>
      </c>
      <c r="C9" s="25">
        <v>7</v>
      </c>
      <c r="D9" s="6" t="s">
        <v>47</v>
      </c>
      <c r="E9" s="26">
        <v>0</v>
      </c>
      <c r="F9" s="26">
        <v>0</v>
      </c>
      <c r="G9" s="46">
        <f t="shared" si="4"/>
        <v>0</v>
      </c>
      <c r="H9" s="26">
        <f t="shared" si="1"/>
        <v>0</v>
      </c>
      <c r="I9" s="27">
        <v>0</v>
      </c>
      <c r="J9" s="28">
        <f>I9/I17*100</f>
        <v>0</v>
      </c>
      <c r="K9" s="29">
        <f t="shared" si="2"/>
        <v>0</v>
      </c>
      <c r="L9" s="6">
        <v>93</v>
      </c>
      <c r="M9" s="36">
        <f>+M5+M7</f>
        <v>720.81928385020956</v>
      </c>
      <c r="N9" s="36">
        <f>+N5+N7</f>
        <v>733.8469492274711</v>
      </c>
      <c r="O9" s="36">
        <f>+N9-M9</f>
        <v>13.027665377261542</v>
      </c>
      <c r="P9" s="36"/>
      <c r="Q9" s="6">
        <v>0</v>
      </c>
      <c r="R9" s="29">
        <f t="shared" si="3"/>
        <v>0</v>
      </c>
      <c r="S9" s="31" t="s">
        <v>48</v>
      </c>
      <c r="T9" s="32" t="s">
        <v>46</v>
      </c>
      <c r="U9" s="47">
        <f>((U7*(2-U4/100))/(U4/100))</f>
        <v>607.30975914482644</v>
      </c>
      <c r="V9" s="38" t="s">
        <v>49</v>
      </c>
      <c r="W9" s="45">
        <v>24</v>
      </c>
      <c r="X9"/>
      <c r="Y9" s="45">
        <v>24</v>
      </c>
      <c r="Z9"/>
      <c r="AA9" s="45">
        <v>24</v>
      </c>
      <c r="AB9" s="18"/>
      <c r="AC9" s="18"/>
      <c r="AD9" s="42"/>
      <c r="AE9" s="18"/>
      <c r="AF9" s="18"/>
      <c r="AG9" s="18"/>
    </row>
    <row r="10" spans="1:33" ht="14.4" x14ac:dyDescent="0.3">
      <c r="A10" s="23">
        <f t="shared" si="0"/>
        <v>0</v>
      </c>
      <c r="B10" s="24">
        <v>0</v>
      </c>
      <c r="C10" s="25">
        <v>8</v>
      </c>
      <c r="D10" s="6" t="s">
        <v>50</v>
      </c>
      <c r="E10" s="26">
        <v>0</v>
      </c>
      <c r="F10" s="26">
        <v>0</v>
      </c>
      <c r="G10" s="27">
        <f t="shared" si="4"/>
        <v>0</v>
      </c>
      <c r="H10" s="26">
        <f t="shared" si="1"/>
        <v>0</v>
      </c>
      <c r="I10" s="27">
        <v>0</v>
      </c>
      <c r="J10" s="28">
        <f>I10/I17*100</f>
        <v>0</v>
      </c>
      <c r="K10" s="29">
        <f t="shared" si="2"/>
        <v>0</v>
      </c>
      <c r="L10" s="6">
        <v>70</v>
      </c>
      <c r="M10" s="6"/>
      <c r="N10" s="6"/>
      <c r="O10" s="6"/>
      <c r="P10" s="6"/>
      <c r="Q10" s="6">
        <v>0</v>
      </c>
      <c r="R10" s="29">
        <f t="shared" si="3"/>
        <v>0</v>
      </c>
      <c r="S10" s="31" t="s">
        <v>51</v>
      </c>
      <c r="T10" s="32" t="s">
        <v>49</v>
      </c>
      <c r="U10" s="47">
        <v>24</v>
      </c>
      <c r="V10" s="38" t="s">
        <v>52</v>
      </c>
      <c r="W10" s="45">
        <v>20</v>
      </c>
      <c r="X10"/>
      <c r="Y10" s="45">
        <f>U11</f>
        <v>35.537190082644628</v>
      </c>
      <c r="Z10"/>
      <c r="AA10" s="45">
        <v>25</v>
      </c>
      <c r="AB10" s="18"/>
      <c r="AC10" s="18"/>
      <c r="AD10" s="42"/>
      <c r="AE10" s="18"/>
      <c r="AF10" s="18"/>
      <c r="AG10" s="18"/>
    </row>
    <row r="11" spans="1:33" ht="14.4" x14ac:dyDescent="0.3">
      <c r="A11" s="23">
        <f t="shared" si="0"/>
        <v>5</v>
      </c>
      <c r="B11" s="24">
        <v>5</v>
      </c>
      <c r="C11" s="25">
        <v>9</v>
      </c>
      <c r="D11" s="6" t="s">
        <v>53</v>
      </c>
      <c r="E11" s="26">
        <v>0</v>
      </c>
      <c r="F11" s="26">
        <v>0</v>
      </c>
      <c r="G11" s="27">
        <f>E11+F11</f>
        <v>0</v>
      </c>
      <c r="H11" s="26">
        <f t="shared" si="1"/>
        <v>0</v>
      </c>
      <c r="I11" s="27">
        <v>0</v>
      </c>
      <c r="J11" s="28">
        <f>I11/I17*100</f>
        <v>0</v>
      </c>
      <c r="K11" s="29">
        <f t="shared" si="2"/>
        <v>0</v>
      </c>
      <c r="L11" s="6">
        <v>98</v>
      </c>
      <c r="M11" s="6"/>
      <c r="N11" s="6"/>
      <c r="O11" s="6"/>
      <c r="P11" s="6"/>
      <c r="Q11" s="6">
        <v>0</v>
      </c>
      <c r="R11" s="29">
        <f t="shared" si="3"/>
        <v>0</v>
      </c>
      <c r="S11" s="31"/>
      <c r="T11" s="32" t="s">
        <v>54</v>
      </c>
      <c r="U11" s="47">
        <f>J5+J4</f>
        <v>35.537190082644628</v>
      </c>
      <c r="V11" s="38" t="s">
        <v>55</v>
      </c>
      <c r="W11" s="45">
        <f>SUM(W8:W10)</f>
        <v>654.89079130032405</v>
      </c>
      <c r="X11"/>
      <c r="Y11" s="45">
        <f>SUM(Y8:Y10)</f>
        <v>666.8469492274711</v>
      </c>
      <c r="Z11"/>
      <c r="AA11" s="45">
        <f>SUM(AA8:AA10)</f>
        <v>673.73421926910294</v>
      </c>
      <c r="AB11" s="18"/>
      <c r="AC11" s="18"/>
      <c r="AD11" s="42"/>
      <c r="AE11" s="18"/>
      <c r="AF11" s="18"/>
      <c r="AG11" s="18"/>
    </row>
    <row r="12" spans="1:33" ht="14.4" x14ac:dyDescent="0.3">
      <c r="A12" s="48">
        <f>+B12-H12</f>
        <v>-32.95900000000006</v>
      </c>
      <c r="B12" s="24">
        <v>667</v>
      </c>
      <c r="C12" s="25">
        <v>10</v>
      </c>
      <c r="D12" s="6" t="s">
        <v>56</v>
      </c>
      <c r="E12" s="49">
        <v>731.97900000000004</v>
      </c>
      <c r="F12" s="26">
        <v>199.98</v>
      </c>
      <c r="G12" s="27">
        <f>E12+F12</f>
        <v>931.95900000000006</v>
      </c>
      <c r="H12" s="49">
        <f>G12-I12</f>
        <v>699.95900000000006</v>
      </c>
      <c r="I12" s="46">
        <v>232</v>
      </c>
      <c r="J12" s="28">
        <f>I12/I17*100</f>
        <v>47.933884297520663</v>
      </c>
      <c r="K12" s="29">
        <f t="shared" si="2"/>
        <v>44.578512396694222</v>
      </c>
      <c r="L12" s="6">
        <v>93</v>
      </c>
      <c r="M12" s="36"/>
      <c r="N12" s="6"/>
      <c r="O12" s="6"/>
      <c r="P12" s="6"/>
      <c r="Q12" s="6">
        <v>48</v>
      </c>
      <c r="R12" s="29">
        <f t="shared" si="3"/>
        <v>6.6115702479336846E-2</v>
      </c>
      <c r="S12" s="31" t="s">
        <v>57</v>
      </c>
      <c r="T12" s="32" t="s">
        <v>55</v>
      </c>
      <c r="U12" s="47">
        <f>U9+U10+U11</f>
        <v>666.8469492274711</v>
      </c>
      <c r="V12" s="38" t="s">
        <v>58</v>
      </c>
      <c r="W12" s="50">
        <v>16</v>
      </c>
      <c r="X12"/>
      <c r="Y12" s="50">
        <v>16</v>
      </c>
      <c r="Z12"/>
      <c r="AA12" s="50">
        <v>16</v>
      </c>
      <c r="AB12" s="18"/>
      <c r="AC12" s="18"/>
      <c r="AD12" s="42"/>
      <c r="AE12" s="18"/>
      <c r="AF12" s="18"/>
      <c r="AG12" s="18"/>
    </row>
    <row r="13" spans="1:33" ht="14.4" x14ac:dyDescent="0.3">
      <c r="A13" s="23">
        <f t="shared" si="0"/>
        <v>-0.94000000000000128</v>
      </c>
      <c r="B13" s="24">
        <v>14</v>
      </c>
      <c r="C13" s="25">
        <v>11</v>
      </c>
      <c r="D13" s="6" t="s">
        <v>60</v>
      </c>
      <c r="E13" s="26">
        <v>19.940000000000001</v>
      </c>
      <c r="F13" s="26">
        <v>0</v>
      </c>
      <c r="G13" s="27">
        <f>E13+F13</f>
        <v>19.940000000000001</v>
      </c>
      <c r="H13" s="26">
        <f>G13-I13</f>
        <v>14.940000000000001</v>
      </c>
      <c r="I13" s="27">
        <v>5</v>
      </c>
      <c r="J13" s="28">
        <f>I13/I17*100</f>
        <v>1.0330578512396695</v>
      </c>
      <c r="K13" s="29">
        <f t="shared" si="2"/>
        <v>0.70909090909090922</v>
      </c>
      <c r="L13" s="6">
        <v>68.64</v>
      </c>
      <c r="M13" s="24" t="s">
        <v>61</v>
      </c>
      <c r="N13" s="6">
        <v>12</v>
      </c>
      <c r="O13" s="6" t="s">
        <v>62</v>
      </c>
      <c r="P13" s="53"/>
      <c r="Q13" s="6">
        <v>2</v>
      </c>
      <c r="R13" s="29">
        <f t="shared" si="3"/>
        <v>0.96694214876033047</v>
      </c>
      <c r="S13" s="31">
        <v>5</v>
      </c>
      <c r="T13" s="32" t="s">
        <v>58</v>
      </c>
      <c r="U13" s="24">
        <v>20</v>
      </c>
      <c r="V13" s="38" t="s">
        <v>63</v>
      </c>
      <c r="W13" s="34">
        <v>10060</v>
      </c>
      <c r="X13"/>
      <c r="Y13" s="34">
        <v>10670</v>
      </c>
      <c r="Z13"/>
      <c r="AA13" s="34">
        <v>12000</v>
      </c>
      <c r="AB13" s="18"/>
      <c r="AC13" s="18"/>
      <c r="AD13" s="42"/>
      <c r="AE13" s="18"/>
      <c r="AF13" s="18"/>
      <c r="AG13" s="18"/>
    </row>
    <row r="14" spans="1:33" ht="14.4" x14ac:dyDescent="0.3">
      <c r="A14" s="23">
        <f t="shared" si="0"/>
        <v>21.800000000000011</v>
      </c>
      <c r="B14" s="24">
        <v>72</v>
      </c>
      <c r="C14" s="25">
        <v>12</v>
      </c>
      <c r="D14" s="6" t="s">
        <v>64</v>
      </c>
      <c r="E14" s="26">
        <v>39.119999999999997</v>
      </c>
      <c r="F14" s="26">
        <v>26.08</v>
      </c>
      <c r="G14" s="27">
        <f>E14+F14</f>
        <v>65.199999999999989</v>
      </c>
      <c r="H14" s="26">
        <f t="shared" si="1"/>
        <v>50.199999999999989</v>
      </c>
      <c r="I14" s="27">
        <v>15</v>
      </c>
      <c r="J14" s="28">
        <f>I14/I17*100</f>
        <v>3.0991735537190084</v>
      </c>
      <c r="K14" s="29">
        <f>+J14*L14%</f>
        <v>3.0371900826446283</v>
      </c>
      <c r="L14" s="6">
        <v>98</v>
      </c>
      <c r="M14" s="6"/>
      <c r="N14" s="6"/>
      <c r="O14" s="6"/>
      <c r="P14" s="30"/>
      <c r="Q14" s="6">
        <v>3</v>
      </c>
      <c r="R14" s="29">
        <f t="shared" si="3"/>
        <v>-9.9173553719008378E-2</v>
      </c>
      <c r="S14" s="31">
        <v>6</v>
      </c>
      <c r="T14" s="32" t="s">
        <v>63</v>
      </c>
      <c r="U14" s="24">
        <v>12000</v>
      </c>
      <c r="V14" s="38" t="s">
        <v>65</v>
      </c>
      <c r="W14" s="54">
        <v>0.92</v>
      </c>
      <c r="X14"/>
      <c r="Y14" s="54">
        <v>0.92</v>
      </c>
      <c r="Z14"/>
      <c r="AA14" s="54">
        <v>0.92</v>
      </c>
      <c r="AB14" s="18"/>
      <c r="AC14" s="18"/>
      <c r="AD14" s="42"/>
      <c r="AE14" s="18"/>
      <c r="AF14" s="18"/>
      <c r="AG14" s="18"/>
    </row>
    <row r="15" spans="1:33" ht="14.4" x14ac:dyDescent="0.3">
      <c r="A15" s="23">
        <f t="shared" si="0"/>
        <v>0</v>
      </c>
      <c r="B15" s="24">
        <v>0</v>
      </c>
      <c r="C15" s="25">
        <v>13</v>
      </c>
      <c r="D15" s="6" t="s">
        <v>1</v>
      </c>
      <c r="E15" s="26">
        <v>0</v>
      </c>
      <c r="F15" s="26">
        <v>0</v>
      </c>
      <c r="G15" s="27">
        <f>E15+F15</f>
        <v>0</v>
      </c>
      <c r="H15" s="26">
        <f>G15-I15</f>
        <v>0</v>
      </c>
      <c r="I15" s="27">
        <v>0</v>
      </c>
      <c r="J15" s="28">
        <f>I15/I17*100</f>
        <v>0</v>
      </c>
      <c r="K15" s="29">
        <f>J15*L15</f>
        <v>0</v>
      </c>
      <c r="L15" s="55">
        <v>0.98</v>
      </c>
      <c r="M15" s="6"/>
      <c r="N15" s="6"/>
      <c r="O15" s="6"/>
      <c r="P15" s="30"/>
      <c r="Q15" s="6"/>
      <c r="R15" s="29"/>
      <c r="S15" s="31"/>
      <c r="T15" s="32"/>
      <c r="U15" s="24"/>
      <c r="V15" s="38"/>
      <c r="W15" s="54"/>
      <c r="X15"/>
      <c r="Y15" s="54"/>
      <c r="Z15"/>
      <c r="AA15" s="54"/>
      <c r="AB15" s="18"/>
      <c r="AC15" s="18"/>
      <c r="AD15" s="42"/>
      <c r="AE15" s="18"/>
      <c r="AF15" s="18"/>
      <c r="AG15" s="18"/>
    </row>
    <row r="16" spans="1:33" ht="14.4" x14ac:dyDescent="0.3">
      <c r="A16" s="23">
        <f>+B16-H16</f>
        <v>-1.0300000000000002</v>
      </c>
      <c r="B16" s="24">
        <v>5</v>
      </c>
      <c r="C16" s="25">
        <v>14</v>
      </c>
      <c r="D16" s="6" t="s">
        <v>66</v>
      </c>
      <c r="E16" s="26">
        <v>6.03</v>
      </c>
      <c r="F16" s="26">
        <v>0</v>
      </c>
      <c r="G16" s="27">
        <f t="shared" si="4"/>
        <v>6.03</v>
      </c>
      <c r="H16" s="26">
        <f t="shared" si="1"/>
        <v>6.03</v>
      </c>
      <c r="I16" s="27">
        <v>0</v>
      </c>
      <c r="J16" s="28">
        <f>I16/I17*100</f>
        <v>0</v>
      </c>
      <c r="K16" s="29">
        <f>+J16*L16%</f>
        <v>0</v>
      </c>
      <c r="L16" s="6">
        <v>94</v>
      </c>
      <c r="M16" s="8" t="s">
        <v>67</v>
      </c>
      <c r="N16" s="6" t="s">
        <v>68</v>
      </c>
      <c r="O16" s="36" t="s">
        <v>69</v>
      </c>
      <c r="P16" s="6"/>
      <c r="Q16" s="6"/>
      <c r="R16" s="29"/>
      <c r="S16" s="31">
        <v>7</v>
      </c>
      <c r="T16" s="32" t="s">
        <v>65</v>
      </c>
      <c r="U16" s="56">
        <v>0.9</v>
      </c>
      <c r="V16" s="57" t="s">
        <v>70</v>
      </c>
      <c r="W16" s="58">
        <f>(W13*W14)/(W11-W10)</f>
        <v>14.577625202350729</v>
      </c>
      <c r="X16"/>
      <c r="Y16" s="58">
        <f>(Y13*Y14)/(Y11-Y10)</f>
        <v>15.549260656602737</v>
      </c>
      <c r="Z16"/>
      <c r="AA16" s="58">
        <f>(AA13*AA14)/(AA11-AA10)</f>
        <v>17.017754994392352</v>
      </c>
      <c r="AB16" s="18"/>
      <c r="AC16" s="18"/>
      <c r="AD16" s="42"/>
      <c r="AE16" s="18"/>
      <c r="AF16" s="18"/>
      <c r="AG16" s="18"/>
    </row>
    <row r="17" spans="1:33" ht="14.4" x14ac:dyDescent="0.3">
      <c r="A17" s="59">
        <f>+B17-H17</f>
        <v>95.475999999999885</v>
      </c>
      <c r="B17" s="6">
        <f>SUM(B3:B14)+B16</f>
        <v>2012</v>
      </c>
      <c r="C17" s="8"/>
      <c r="D17" s="6" t="s">
        <v>10</v>
      </c>
      <c r="E17" s="26">
        <f>SUM(E3:E16)</f>
        <v>1931.2640000000001</v>
      </c>
      <c r="F17" s="27">
        <f>SUM(F3:F16)</f>
        <v>469.25999999999993</v>
      </c>
      <c r="G17" s="27">
        <f>E17+F17</f>
        <v>2400.5239999999999</v>
      </c>
      <c r="H17" s="26">
        <f>SUM(H3:H16)</f>
        <v>1916.5240000000001</v>
      </c>
      <c r="I17" s="27">
        <f>SUM(I3:I16)</f>
        <v>484</v>
      </c>
      <c r="J17" s="28">
        <f>SUM(J3:J16)</f>
        <v>100.00000000000001</v>
      </c>
      <c r="K17" s="29">
        <f>SUM(K3:K16)</f>
        <v>85.894297520661155</v>
      </c>
      <c r="L17" s="6"/>
      <c r="M17" s="30">
        <f>+O2/I17*100</f>
        <v>85.662396694214877</v>
      </c>
      <c r="N17" s="60">
        <f>+K17</f>
        <v>85.894297520661155</v>
      </c>
      <c r="O17" s="27">
        <f>+M17-N17</f>
        <v>-0.23190082644627807</v>
      </c>
      <c r="P17" s="36">
        <f>1036+27</f>
        <v>1063</v>
      </c>
      <c r="Q17" s="6">
        <f>SUM(Q3:Q16)</f>
        <v>100</v>
      </c>
      <c r="R17" s="29">
        <f t="shared" si="3"/>
        <v>0</v>
      </c>
      <c r="S17" s="31">
        <v>8</v>
      </c>
      <c r="T17" s="32" t="s">
        <v>70</v>
      </c>
      <c r="U17" s="61">
        <f>(U14*U16)/(U12-U11)</f>
        <v>17.107291378846579</v>
      </c>
      <c r="V17" s="38" t="s">
        <v>71</v>
      </c>
      <c r="W17" s="50">
        <v>34</v>
      </c>
      <c r="X17"/>
      <c r="Y17" s="50">
        <v>34</v>
      </c>
      <c r="Z17"/>
      <c r="AA17" s="50">
        <v>34</v>
      </c>
      <c r="AB17" s="18"/>
      <c r="AC17" s="18"/>
      <c r="AD17" s="18"/>
      <c r="AE17" s="18"/>
      <c r="AF17" s="18"/>
      <c r="AG17" s="18"/>
    </row>
    <row r="18" spans="1:33" ht="14.4" x14ac:dyDescent="0.3">
      <c r="A18" s="62"/>
      <c r="B18" s="63">
        <f>+H17-B17</f>
        <v>-95.475999999999885</v>
      </c>
      <c r="C18" s="8"/>
      <c r="D18" s="6"/>
      <c r="E18" s="26"/>
      <c r="F18" s="27"/>
      <c r="G18" s="27"/>
      <c r="H18" s="26"/>
      <c r="I18" s="27"/>
      <c r="J18" s="28" t="s">
        <v>72</v>
      </c>
      <c r="K18" s="64">
        <f>P2/M3</f>
        <v>9.445500672083702E-3</v>
      </c>
      <c r="L18" s="6"/>
      <c r="M18" s="30"/>
      <c r="N18" s="60"/>
      <c r="O18" s="27"/>
      <c r="P18" s="36">
        <f>+P17-P19</f>
        <v>306.81099999999992</v>
      </c>
      <c r="Q18" s="6"/>
      <c r="R18" s="29"/>
      <c r="S18" s="31"/>
      <c r="T18" s="32"/>
      <c r="U18" s="61"/>
      <c r="V18" s="38"/>
      <c r="W18" s="50"/>
      <c r="X18"/>
      <c r="Y18" s="50"/>
      <c r="Z18"/>
      <c r="AA18" s="50"/>
      <c r="AB18" s="18"/>
      <c r="AC18" s="18"/>
      <c r="AD18" s="18"/>
      <c r="AE18" s="18"/>
      <c r="AF18" s="18"/>
      <c r="AG18" s="18"/>
    </row>
    <row r="19" spans="1:33" ht="23.4" x14ac:dyDescent="0.45">
      <c r="A19" s="6">
        <f>B3+B4+B5+B13</f>
        <v>849</v>
      </c>
      <c r="B19" s="6">
        <f>B12+B14+B16</f>
        <v>744</v>
      </c>
      <c r="C19" s="8"/>
      <c r="D19" s="6" t="s">
        <v>73</v>
      </c>
      <c r="E19" s="27">
        <v>0</v>
      </c>
      <c r="F19" s="27">
        <v>0</v>
      </c>
      <c r="G19" s="27">
        <f>+E19+F19</f>
        <v>0</v>
      </c>
      <c r="H19" s="27">
        <f>G19-I19</f>
        <v>0</v>
      </c>
      <c r="I19" s="27">
        <f>F19</f>
        <v>0</v>
      </c>
      <c r="J19" s="65"/>
      <c r="K19" s="29"/>
      <c r="L19" s="6" t="s">
        <v>74</v>
      </c>
      <c r="M19" s="25" t="s">
        <v>75</v>
      </c>
      <c r="N19" s="66">
        <f>H3+H4+H5+H13+H10</f>
        <v>803.06000000000006</v>
      </c>
      <c r="O19" s="65" t="s">
        <v>76</v>
      </c>
      <c r="P19" s="67">
        <f>H12+H14+H16</f>
        <v>756.18900000000008</v>
      </c>
      <c r="Q19" s="27">
        <f>+P19+N19</f>
        <v>1559.2490000000003</v>
      </c>
      <c r="R19" s="68"/>
      <c r="S19" s="31">
        <v>9</v>
      </c>
      <c r="T19" s="32" t="s">
        <v>71</v>
      </c>
      <c r="U19" s="24">
        <v>34</v>
      </c>
      <c r="V19" s="38" t="s">
        <v>77</v>
      </c>
      <c r="W19" s="69">
        <f>W17*60/W16</f>
        <v>139.94048904968676</v>
      </c>
      <c r="X19"/>
      <c r="Y19" s="69">
        <f>Y17*60/Y16</f>
        <v>131.19594847963063</v>
      </c>
      <c r="Z19"/>
      <c r="AA19" s="69">
        <f>AA17*60/AA16</f>
        <v>119.87480138668207</v>
      </c>
      <c r="AB19" s="18"/>
      <c r="AC19" s="18"/>
      <c r="AD19" s="18"/>
      <c r="AE19" s="18"/>
      <c r="AF19" s="18"/>
      <c r="AG19" s="18"/>
    </row>
    <row r="20" spans="1:33" ht="14.4" x14ac:dyDescent="0.3">
      <c r="A20" s="63">
        <f>A19-N19</f>
        <v>45.939999999999941</v>
      </c>
      <c r="B20" s="70">
        <f>B19-P19</f>
        <v>-12.189000000000078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31">
        <v>10</v>
      </c>
      <c r="T20" s="32" t="s">
        <v>77</v>
      </c>
      <c r="U20" s="71">
        <f>U19*60/U17</f>
        <v>119.24739894957833</v>
      </c>
      <c r="V20" s="57" t="s">
        <v>78</v>
      </c>
      <c r="W20" s="72">
        <v>5</v>
      </c>
      <c r="X20"/>
      <c r="Y20" s="72">
        <v>12</v>
      </c>
      <c r="Z20"/>
      <c r="AA20" s="72">
        <v>15</v>
      </c>
      <c r="AB20" s="18"/>
      <c r="AC20" s="18"/>
      <c r="AD20" s="18"/>
      <c r="AE20" s="18"/>
      <c r="AF20" s="18"/>
      <c r="AG20" s="18"/>
    </row>
    <row r="21" spans="1:33" ht="42" x14ac:dyDescent="0.3">
      <c r="A21" s="73"/>
      <c r="B21" s="74"/>
      <c r="C21" s="74"/>
      <c r="H21" s="2"/>
      <c r="S21" s="8">
        <v>11</v>
      </c>
      <c r="T21" s="32" t="s">
        <v>78</v>
      </c>
      <c r="U21" s="75">
        <v>6</v>
      </c>
      <c r="V21" s="57" t="s">
        <v>79</v>
      </c>
      <c r="W21" s="72">
        <f>W20+W19</f>
        <v>144.94048904968676</v>
      </c>
      <c r="X21"/>
      <c r="Y21" s="72">
        <f>Y20+Y19</f>
        <v>143.19594847963063</v>
      </c>
      <c r="Z21"/>
      <c r="AA21" s="72">
        <f>AA20+AA19</f>
        <v>134.87480138668207</v>
      </c>
      <c r="AB21" s="18"/>
      <c r="AC21" s="18"/>
      <c r="AD21" s="18"/>
      <c r="AE21" s="18"/>
      <c r="AF21" s="18"/>
      <c r="AG21" s="18"/>
    </row>
    <row r="22" spans="1:33" s="82" customFormat="1" ht="14.4" x14ac:dyDescent="0.3">
      <c r="A22" s="76"/>
      <c r="B22" s="77">
        <f>A12+A16</f>
        <v>-33.989000000000061</v>
      </c>
      <c r="C22" s="78"/>
      <c r="D22" s="2"/>
      <c r="E22" s="79">
        <f>H12+H14+H16</f>
        <v>756.18900000000008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6">
        <v>12</v>
      </c>
      <c r="T22" s="32" t="s">
        <v>79</v>
      </c>
      <c r="U22" s="71">
        <f>U21+U20</f>
        <v>125.24739894957833</v>
      </c>
      <c r="V22" s="38" t="s">
        <v>80</v>
      </c>
      <c r="W22" s="80">
        <f>24*60/W21</f>
        <v>9.9351120548955549</v>
      </c>
      <c r="X22"/>
      <c r="Y22" s="80">
        <f>24*60/Y21</f>
        <v>10.056150437837545</v>
      </c>
      <c r="Z22"/>
      <c r="AA22" s="80">
        <f>24*60/AA21</f>
        <v>10.676568085327983</v>
      </c>
      <c r="AB22" s="81"/>
      <c r="AC22" s="81"/>
      <c r="AD22" s="81"/>
      <c r="AE22" s="81"/>
      <c r="AF22" s="81"/>
      <c r="AG22" s="81"/>
    </row>
    <row r="23" spans="1:33" ht="14.4" x14ac:dyDescent="0.3">
      <c r="A23" s="83"/>
      <c r="B23" s="84"/>
      <c r="C23" s="84"/>
      <c r="E23" s="2">
        <f>B12+B14+B16</f>
        <v>744</v>
      </c>
      <c r="H23" s="2"/>
      <c r="S23" s="6">
        <v>13</v>
      </c>
      <c r="T23" s="32" t="s">
        <v>80</v>
      </c>
      <c r="U23" s="85">
        <f>24*60/U22</f>
        <v>11.497244749806823</v>
      </c>
      <c r="V23" s="57" t="s">
        <v>81</v>
      </c>
      <c r="W23" s="86">
        <f>W22*W17</f>
        <v>337.7938098664489</v>
      </c>
      <c r="X23"/>
      <c r="Y23" s="86">
        <f>Y22*Y17</f>
        <v>341.90911488647652</v>
      </c>
      <c r="Z23"/>
      <c r="AA23" s="86">
        <f>AA22*AA17</f>
        <v>363.00331490115138</v>
      </c>
      <c r="AB23" s="18"/>
      <c r="AC23" s="18"/>
      <c r="AD23" s="18"/>
      <c r="AE23" s="18"/>
      <c r="AF23" s="18"/>
      <c r="AG23" s="18"/>
    </row>
    <row r="24" spans="1:33" ht="15" thickBot="1" x14ac:dyDescent="0.35">
      <c r="A24" s="73"/>
      <c r="B24" s="74"/>
      <c r="C24" s="87"/>
      <c r="E24" s="79">
        <f>E23-E22</f>
        <v>-12.189000000000078</v>
      </c>
      <c r="H24" s="2"/>
      <c r="S24" s="6">
        <v>14</v>
      </c>
      <c r="T24" s="88" t="s">
        <v>81</v>
      </c>
      <c r="U24" s="89">
        <f>U23*U19</f>
        <v>390.90632149343196</v>
      </c>
      <c r="V24" s="57" t="s">
        <v>82</v>
      </c>
      <c r="W24" s="3">
        <v>65</v>
      </c>
      <c r="X24"/>
      <c r="Y24" s="90">
        <f>+W23*W24/Y23</f>
        <v>64.217643477008181</v>
      </c>
      <c r="Z24" s="91"/>
      <c r="AA24" s="90">
        <f>+Y23*Y24/AA23</f>
        <v>60.485942524514222</v>
      </c>
      <c r="AB24" s="18"/>
      <c r="AC24" s="18"/>
      <c r="AD24" s="18"/>
      <c r="AE24" s="18"/>
      <c r="AF24" s="18"/>
      <c r="AG24" s="18"/>
    </row>
    <row r="25" spans="1:33" ht="13.8" x14ac:dyDescent="0.3">
      <c r="A25" s="83"/>
      <c r="B25" s="92"/>
      <c r="C25" s="87"/>
      <c r="H25" s="2"/>
      <c r="S25" s="18"/>
      <c r="T25" s="93"/>
      <c r="U25" s="94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1:33" ht="13.8" x14ac:dyDescent="0.3">
      <c r="A26" s="83"/>
      <c r="B26" s="95"/>
      <c r="C26" s="87"/>
      <c r="H26" s="2"/>
      <c r="S26" s="18"/>
      <c r="T26" s="81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 x14ac:dyDescent="0.2">
      <c r="C27" s="81"/>
      <c r="S27" s="18"/>
      <c r="T27" s="81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 x14ac:dyDescent="0.2">
      <c r="C28" s="81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</sheetData>
  <mergeCells count="3">
    <mergeCell ref="A1:N1"/>
    <mergeCell ref="T1:U1"/>
    <mergeCell ref="C20:R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67E3-15B4-4E06-B4B6-44463EF76947}">
  <dimension ref="A1:AG28"/>
  <sheetViews>
    <sheetView zoomScale="150" zoomScaleNormal="150" workbookViewId="0">
      <selection activeCell="H14" sqref="H14"/>
    </sheetView>
  </sheetViews>
  <sheetFormatPr defaultColWidth="9.109375" defaultRowHeight="10.199999999999999" x14ac:dyDescent="0.2"/>
  <cols>
    <col min="1" max="1" width="14.109375" style="2" bestFit="1" customWidth="1"/>
    <col min="2" max="2" width="7.88671875" style="2" bestFit="1" customWidth="1"/>
    <col min="3" max="3" width="8.44140625" style="82" bestFit="1" customWidth="1"/>
    <col min="4" max="4" width="17.5546875" style="2" bestFit="1" customWidth="1"/>
    <col min="5" max="5" width="10.88671875" style="2" bestFit="1" customWidth="1"/>
    <col min="6" max="6" width="7.33203125" style="2" bestFit="1" customWidth="1"/>
    <col min="7" max="7" width="9.109375" style="2"/>
    <col min="8" max="8" width="10" style="82" customWidth="1"/>
    <col min="9" max="9" width="9.5546875" style="2" bestFit="1" customWidth="1"/>
    <col min="10" max="10" width="10.44140625" style="2" bestFit="1" customWidth="1"/>
    <col min="11" max="11" width="12" style="2" customWidth="1"/>
    <col min="12" max="12" width="10.109375" style="2" bestFit="1" customWidth="1"/>
    <col min="13" max="13" width="10.5546875" style="2" bestFit="1" customWidth="1"/>
    <col min="14" max="14" width="15" style="2" customWidth="1"/>
    <col min="15" max="15" width="12.109375" style="2" customWidth="1"/>
    <col min="16" max="16" width="15.33203125" style="2" customWidth="1"/>
    <col min="17" max="17" width="7.44140625" style="2" bestFit="1" customWidth="1"/>
    <col min="18" max="18" width="7.6640625" style="2" customWidth="1"/>
    <col min="19" max="19" width="5.33203125" style="2" bestFit="1" customWidth="1"/>
    <col min="20" max="20" width="27.5546875" style="82" customWidth="1"/>
    <col min="21" max="21" width="11.44140625" style="2" bestFit="1" customWidth="1"/>
    <col min="22" max="22" width="30.88671875" style="2" customWidth="1"/>
    <col min="23" max="23" width="11.44140625" style="2" bestFit="1" customWidth="1"/>
    <col min="24" max="24" width="6.109375" style="2" bestFit="1" customWidth="1"/>
    <col min="25" max="25" width="11.44140625" style="2" bestFit="1" customWidth="1"/>
    <col min="26" max="26" width="5.44140625" style="2" bestFit="1" customWidth="1"/>
    <col min="27" max="27" width="11.44140625" style="2" bestFit="1" customWidth="1"/>
    <col min="28" max="28" width="6.6640625" style="2" bestFit="1" customWidth="1"/>
    <col min="29" max="29" width="5.5546875" style="2" bestFit="1" customWidth="1"/>
    <col min="30" max="30" width="7" style="2" bestFit="1" customWidth="1"/>
    <col min="31" max="31" width="4.44140625" style="2" bestFit="1" customWidth="1"/>
    <col min="32" max="16384" width="9.109375" style="2"/>
  </cols>
  <sheetData>
    <row r="1" spans="1:33" ht="15" thickBot="1" x14ac:dyDescent="0.35">
      <c r="A1" s="96" t="s">
        <v>91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1" t="s">
        <v>0</v>
      </c>
      <c r="P1" s="1" t="s">
        <v>1</v>
      </c>
      <c r="Q1" s="1"/>
      <c r="R1" s="1"/>
      <c r="T1" s="97" t="s">
        <v>2</v>
      </c>
      <c r="U1" s="98"/>
      <c r="V1" s="3" t="s">
        <v>3</v>
      </c>
      <c r="W1" s="4">
        <v>0.5</v>
      </c>
      <c r="X1"/>
      <c r="Y1" s="5">
        <v>0.4</v>
      </c>
      <c r="Z1"/>
      <c r="AA1" s="5">
        <v>0.3</v>
      </c>
    </row>
    <row r="2" spans="1:33" ht="14.4" x14ac:dyDescent="0.3">
      <c r="A2" s="6" t="s">
        <v>4</v>
      </c>
      <c r="B2" s="7" t="s">
        <v>5</v>
      </c>
      <c r="C2" s="8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8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9" t="s">
        <v>17</v>
      </c>
      <c r="O2" s="10">
        <v>408.07400000000001</v>
      </c>
      <c r="P2" s="11">
        <v>5.87</v>
      </c>
      <c r="Q2" s="6" t="s">
        <v>18</v>
      </c>
      <c r="R2" s="6" t="s">
        <v>19</v>
      </c>
      <c r="S2" s="12" t="s">
        <v>20</v>
      </c>
      <c r="T2" s="13" t="s">
        <v>21</v>
      </c>
      <c r="U2" s="14" t="s">
        <v>22</v>
      </c>
      <c r="V2" s="15" t="s">
        <v>21</v>
      </c>
      <c r="W2" s="16" t="s">
        <v>22</v>
      </c>
      <c r="X2"/>
      <c r="Y2" s="17" t="s">
        <v>22</v>
      </c>
      <c r="Z2"/>
      <c r="AA2" s="17" t="s">
        <v>22</v>
      </c>
      <c r="AB2" s="18"/>
      <c r="AC2" s="18"/>
      <c r="AD2" s="19"/>
      <c r="AE2" s="20"/>
      <c r="AF2" s="21"/>
      <c r="AG2" s="22"/>
    </row>
    <row r="3" spans="1:33" ht="14.4" x14ac:dyDescent="0.3">
      <c r="A3" s="23">
        <f>+B3-H3</f>
        <v>21.419999999999959</v>
      </c>
      <c r="B3" s="24">
        <v>432</v>
      </c>
      <c r="C3" s="25">
        <v>1</v>
      </c>
      <c r="D3" s="6" t="s">
        <v>23</v>
      </c>
      <c r="E3" s="26">
        <v>387.99</v>
      </c>
      <c r="F3" s="26">
        <v>82.59</v>
      </c>
      <c r="G3" s="27">
        <f>E3+F3</f>
        <v>470.58000000000004</v>
      </c>
      <c r="H3" s="26">
        <f>G3-I3</f>
        <v>410.58000000000004</v>
      </c>
      <c r="I3" s="27">
        <v>60</v>
      </c>
      <c r="J3" s="28">
        <f>I3/I17*100</f>
        <v>12.631578947368421</v>
      </c>
      <c r="K3" s="29">
        <f>+J3*L3%</f>
        <v>10.111578947368422</v>
      </c>
      <c r="L3" s="30">
        <v>80.05</v>
      </c>
      <c r="M3" s="27">
        <f>O2</f>
        <v>408.07400000000001</v>
      </c>
      <c r="N3" s="28">
        <f>U24</f>
        <v>392.72199919710772</v>
      </c>
      <c r="O3" s="30" t="s">
        <v>24</v>
      </c>
      <c r="P3" s="27" t="s">
        <v>25</v>
      </c>
      <c r="Q3" s="6">
        <v>16</v>
      </c>
      <c r="R3" s="29">
        <f>Q3-J3</f>
        <v>3.3684210526315788</v>
      </c>
      <c r="S3" s="31"/>
      <c r="T3" s="32" t="s">
        <v>26</v>
      </c>
      <c r="U3" s="24">
        <v>30</v>
      </c>
      <c r="V3" s="33" t="s">
        <v>26</v>
      </c>
      <c r="W3" s="34">
        <v>30</v>
      </c>
      <c r="X3"/>
      <c r="Y3" s="34">
        <v>30</v>
      </c>
      <c r="Z3"/>
      <c r="AA3" s="34">
        <v>30</v>
      </c>
      <c r="AB3" s="18"/>
      <c r="AC3" s="18"/>
      <c r="AD3" s="18"/>
      <c r="AE3" s="35"/>
      <c r="AF3" s="18"/>
      <c r="AG3" s="18"/>
    </row>
    <row r="4" spans="1:33" ht="14.4" x14ac:dyDescent="0.3">
      <c r="A4" s="23">
        <f t="shared" ref="A4:A15" si="0">+B4-H4</f>
        <v>-6.1200000000000045</v>
      </c>
      <c r="B4" s="24">
        <v>240</v>
      </c>
      <c r="C4" s="25">
        <v>2</v>
      </c>
      <c r="D4" s="6" t="s">
        <v>27</v>
      </c>
      <c r="E4" s="26">
        <v>256.64</v>
      </c>
      <c r="F4" s="26">
        <v>54.48</v>
      </c>
      <c r="G4" s="27">
        <f>E4+F4</f>
        <v>311.12</v>
      </c>
      <c r="H4" s="26">
        <f t="shared" ref="H4:H16" si="1">G4-I4</f>
        <v>246.12</v>
      </c>
      <c r="I4" s="27">
        <v>65</v>
      </c>
      <c r="J4" s="28">
        <f>I4/I17*100</f>
        <v>13.684210526315791</v>
      </c>
      <c r="K4" s="29">
        <f t="shared" ref="K4:K13" si="2">+J4*L4%</f>
        <v>10.387684210526317</v>
      </c>
      <c r="L4" s="30">
        <v>75.91</v>
      </c>
      <c r="M4" s="6" t="s">
        <v>28</v>
      </c>
      <c r="N4" s="6" t="s">
        <v>29</v>
      </c>
      <c r="O4" s="36">
        <v>264519</v>
      </c>
      <c r="P4" s="36">
        <v>22791</v>
      </c>
      <c r="Q4" s="6">
        <v>13</v>
      </c>
      <c r="R4" s="29">
        <f t="shared" ref="R4:R17" si="3">Q4-J4</f>
        <v>-0.68421052631579116</v>
      </c>
      <c r="S4" s="31">
        <v>1</v>
      </c>
      <c r="T4" s="32" t="s">
        <v>30</v>
      </c>
      <c r="U4" s="37">
        <f>M17</f>
        <v>85.910315789473685</v>
      </c>
      <c r="V4" s="38" t="s">
        <v>30</v>
      </c>
      <c r="W4" s="39">
        <v>86.44</v>
      </c>
      <c r="X4"/>
      <c r="Y4" s="39">
        <f>U4</f>
        <v>85.910315789473685</v>
      </c>
      <c r="Z4"/>
      <c r="AA4" s="39">
        <v>84.28</v>
      </c>
      <c r="AB4" s="18"/>
      <c r="AC4" s="18"/>
      <c r="AD4" s="18"/>
      <c r="AE4" s="18"/>
      <c r="AF4" s="18"/>
      <c r="AG4" s="18"/>
    </row>
    <row r="5" spans="1:33" ht="14.4" x14ac:dyDescent="0.3">
      <c r="A5" s="23">
        <f t="shared" si="0"/>
        <v>18.769999999999982</v>
      </c>
      <c r="B5" s="24">
        <v>148</v>
      </c>
      <c r="C5" s="25">
        <v>3</v>
      </c>
      <c r="D5" s="6" t="s">
        <v>31</v>
      </c>
      <c r="E5" s="26">
        <v>143.49</v>
      </c>
      <c r="F5" s="26">
        <v>87.74</v>
      </c>
      <c r="G5" s="27">
        <f>E5+F5</f>
        <v>231.23000000000002</v>
      </c>
      <c r="H5" s="26">
        <f t="shared" si="1"/>
        <v>129.23000000000002</v>
      </c>
      <c r="I5" s="27">
        <v>102</v>
      </c>
      <c r="J5" s="28">
        <f>I5/I17*100</f>
        <v>21.473684210526319</v>
      </c>
      <c r="K5" s="29">
        <f t="shared" si="2"/>
        <v>16.964210526315792</v>
      </c>
      <c r="L5" s="30">
        <v>79</v>
      </c>
      <c r="M5" s="36">
        <f>O4/O2</f>
        <v>648.21331425182689</v>
      </c>
      <c r="N5" s="36">
        <f>+U12</f>
        <v>663.40205143391165</v>
      </c>
      <c r="O5" s="36">
        <f>+N5-M5</f>
        <v>15.188737182084765</v>
      </c>
      <c r="P5" s="36">
        <f>+P4/O2</f>
        <v>55.850164430961051</v>
      </c>
      <c r="Q5" s="6">
        <v>18</v>
      </c>
      <c r="R5" s="29">
        <f t="shared" si="3"/>
        <v>-3.4736842105263186</v>
      </c>
      <c r="S5" s="31"/>
      <c r="T5" s="32" t="s">
        <v>32</v>
      </c>
      <c r="U5" s="40" t="s">
        <v>33</v>
      </c>
      <c r="V5" s="38" t="s">
        <v>32</v>
      </c>
      <c r="W5" s="41" t="s">
        <v>33</v>
      </c>
      <c r="X5"/>
      <c r="Y5" s="41" t="s">
        <v>33</v>
      </c>
      <c r="Z5"/>
      <c r="AA5" s="41" t="s">
        <v>33</v>
      </c>
      <c r="AB5" s="18"/>
      <c r="AC5" s="18"/>
      <c r="AD5" s="42"/>
      <c r="AE5" s="18"/>
      <c r="AF5" s="18"/>
      <c r="AG5" s="18"/>
    </row>
    <row r="6" spans="1:33" ht="14.4" x14ac:dyDescent="0.3">
      <c r="A6" s="23">
        <f t="shared" si="0"/>
        <v>36.449999999999989</v>
      </c>
      <c r="B6" s="24">
        <v>351</v>
      </c>
      <c r="C6" s="25">
        <v>4</v>
      </c>
      <c r="D6" s="6" t="s">
        <v>34</v>
      </c>
      <c r="E6" s="26">
        <v>314.55</v>
      </c>
      <c r="F6" s="26">
        <v>0</v>
      </c>
      <c r="G6" s="27">
        <f t="shared" ref="G6:G16" si="4">E6+F6</f>
        <v>314.55</v>
      </c>
      <c r="H6" s="26">
        <f>G6-I6</f>
        <v>314.55</v>
      </c>
      <c r="I6" s="27">
        <v>0</v>
      </c>
      <c r="J6" s="28">
        <f>I6/I17*100</f>
        <v>0</v>
      </c>
      <c r="K6" s="29">
        <f t="shared" si="2"/>
        <v>0</v>
      </c>
      <c r="L6" s="6">
        <v>94</v>
      </c>
      <c r="M6" s="6" t="s">
        <v>35</v>
      </c>
      <c r="N6" s="6"/>
      <c r="O6" s="6" t="s">
        <v>36</v>
      </c>
      <c r="P6" s="6">
        <v>3706</v>
      </c>
      <c r="Q6" s="6">
        <v>0</v>
      </c>
      <c r="R6" s="29">
        <f t="shared" si="3"/>
        <v>0</v>
      </c>
      <c r="S6" s="31"/>
      <c r="T6" s="32" t="s">
        <v>37</v>
      </c>
      <c r="U6" s="40" t="s">
        <v>38</v>
      </c>
      <c r="V6" s="38" t="s">
        <v>37</v>
      </c>
      <c r="W6" s="41" t="s">
        <v>39</v>
      </c>
      <c r="X6"/>
      <c r="Y6" s="41" t="s">
        <v>39</v>
      </c>
      <c r="Z6"/>
      <c r="AA6" s="41" t="s">
        <v>39</v>
      </c>
      <c r="AB6" s="43"/>
      <c r="AC6" s="44"/>
      <c r="AD6" s="44"/>
      <c r="AE6" s="44"/>
      <c r="AF6" s="18"/>
      <c r="AG6" s="18"/>
    </row>
    <row r="7" spans="1:33" ht="14.4" x14ac:dyDescent="0.3">
      <c r="A7" s="23">
        <v>0</v>
      </c>
      <c r="B7" s="24">
        <v>0</v>
      </c>
      <c r="C7" s="25">
        <v>5</v>
      </c>
      <c r="D7" s="6" t="s">
        <v>40</v>
      </c>
      <c r="E7" s="26">
        <v>0</v>
      </c>
      <c r="F7" s="26">
        <v>0</v>
      </c>
      <c r="G7" s="27">
        <f t="shared" si="4"/>
        <v>0</v>
      </c>
      <c r="H7" s="26">
        <f t="shared" si="1"/>
        <v>0</v>
      </c>
      <c r="I7" s="27">
        <v>0</v>
      </c>
      <c r="J7" s="28">
        <f>I7/I17*100</f>
        <v>0</v>
      </c>
      <c r="K7" s="29">
        <f t="shared" si="2"/>
        <v>0</v>
      </c>
      <c r="L7" s="6">
        <v>88</v>
      </c>
      <c r="M7" s="36">
        <f>+P5+P8</f>
        <v>64.93185059572528</v>
      </c>
      <c r="N7" s="36">
        <v>67</v>
      </c>
      <c r="O7" s="36">
        <f>+N7-M7</f>
        <v>2.0681494042747204</v>
      </c>
      <c r="P7" s="36"/>
      <c r="Q7" s="6">
        <v>0</v>
      </c>
      <c r="R7" s="29">
        <f t="shared" si="3"/>
        <v>0</v>
      </c>
      <c r="S7" s="31">
        <v>2</v>
      </c>
      <c r="T7" s="32" t="s">
        <v>41</v>
      </c>
      <c r="U7" s="40">
        <v>455</v>
      </c>
      <c r="V7" s="38" t="s">
        <v>41</v>
      </c>
      <c r="W7" s="41">
        <v>465</v>
      </c>
      <c r="X7"/>
      <c r="Y7" s="41">
        <v>455</v>
      </c>
      <c r="Z7"/>
      <c r="AA7" s="41">
        <v>455</v>
      </c>
      <c r="AB7" s="18"/>
      <c r="AC7" s="18"/>
      <c r="AD7" s="42"/>
      <c r="AE7" s="18"/>
      <c r="AF7" s="18"/>
      <c r="AG7" s="18"/>
    </row>
    <row r="8" spans="1:33" ht="14.4" x14ac:dyDescent="0.3">
      <c r="A8" s="23">
        <f t="shared" si="0"/>
        <v>20.664999999999992</v>
      </c>
      <c r="B8" s="24">
        <v>88</v>
      </c>
      <c r="C8" s="25">
        <v>6</v>
      </c>
      <c r="D8" s="6" t="s">
        <v>42</v>
      </c>
      <c r="E8" s="26">
        <v>42.725000000000001</v>
      </c>
      <c r="F8" s="26">
        <v>24.61</v>
      </c>
      <c r="G8" s="27">
        <f t="shared" si="4"/>
        <v>67.335000000000008</v>
      </c>
      <c r="H8" s="26">
        <f t="shared" si="1"/>
        <v>67.335000000000008</v>
      </c>
      <c r="I8" s="27">
        <v>0</v>
      </c>
      <c r="J8" s="28">
        <f>I8/I17*100</f>
        <v>0</v>
      </c>
      <c r="K8" s="29">
        <f t="shared" si="2"/>
        <v>0</v>
      </c>
      <c r="L8" s="6">
        <v>90</v>
      </c>
      <c r="M8" s="30" t="s">
        <v>43</v>
      </c>
      <c r="N8" s="30" t="s">
        <v>44</v>
      </c>
      <c r="O8" s="6" t="s">
        <v>45</v>
      </c>
      <c r="P8" s="36">
        <f>+P6/O2</f>
        <v>9.0816861647642337</v>
      </c>
      <c r="Q8" s="6">
        <v>0</v>
      </c>
      <c r="R8" s="29">
        <f t="shared" si="3"/>
        <v>0</v>
      </c>
      <c r="S8" s="31"/>
      <c r="T8" s="32"/>
      <c r="U8" s="40"/>
      <c r="V8" s="38" t="s">
        <v>46</v>
      </c>
      <c r="W8" s="45">
        <f>((W7*(2-W4/100))/(W4/100))</f>
        <v>610.89079130032405</v>
      </c>
      <c r="X8"/>
      <c r="Y8" s="45">
        <f>((Y7*(2-Y4/100))/(Y4/100))</f>
        <v>604.24415669706957</v>
      </c>
      <c r="Z8"/>
      <c r="AA8" s="45">
        <f>((AA7*(2-AA4/100))/(AA4/100))</f>
        <v>624.73421926910294</v>
      </c>
      <c r="AB8" s="18"/>
      <c r="AC8" s="18"/>
      <c r="AD8" s="42"/>
      <c r="AE8" s="18"/>
      <c r="AF8" s="18"/>
      <c r="AG8" s="18"/>
    </row>
    <row r="9" spans="1:33" ht="14.4" x14ac:dyDescent="0.3">
      <c r="A9" s="23">
        <f t="shared" si="0"/>
        <v>0</v>
      </c>
      <c r="B9" s="24">
        <v>0</v>
      </c>
      <c r="C9" s="25">
        <v>7</v>
      </c>
      <c r="D9" s="6" t="s">
        <v>47</v>
      </c>
      <c r="E9" s="26">
        <v>0</v>
      </c>
      <c r="F9" s="26">
        <v>0</v>
      </c>
      <c r="G9" s="46">
        <f t="shared" si="4"/>
        <v>0</v>
      </c>
      <c r="H9" s="26">
        <f t="shared" si="1"/>
        <v>0</v>
      </c>
      <c r="I9" s="27">
        <v>0</v>
      </c>
      <c r="J9" s="28">
        <f>I9/I17*100</f>
        <v>0</v>
      </c>
      <c r="K9" s="29">
        <f t="shared" si="2"/>
        <v>0</v>
      </c>
      <c r="L9" s="6">
        <v>93</v>
      </c>
      <c r="M9" s="36">
        <f>+M5+M7</f>
        <v>713.14516484755222</v>
      </c>
      <c r="N9" s="36">
        <f>+N5+N7</f>
        <v>730.40205143391165</v>
      </c>
      <c r="O9" s="36">
        <f>+N9-M9</f>
        <v>17.256886586359428</v>
      </c>
      <c r="P9" s="36"/>
      <c r="Q9" s="6">
        <v>0</v>
      </c>
      <c r="R9" s="29">
        <f t="shared" si="3"/>
        <v>0</v>
      </c>
      <c r="S9" s="31" t="s">
        <v>48</v>
      </c>
      <c r="T9" s="32" t="s">
        <v>46</v>
      </c>
      <c r="U9" s="47">
        <f>((U7*(2-U4/100))/(U4/100))</f>
        <v>604.24415669706957</v>
      </c>
      <c r="V9" s="38" t="s">
        <v>49</v>
      </c>
      <c r="W9" s="45">
        <v>24</v>
      </c>
      <c r="X9"/>
      <c r="Y9" s="45">
        <v>24</v>
      </c>
      <c r="Z9"/>
      <c r="AA9" s="45">
        <v>24</v>
      </c>
      <c r="AB9" s="18"/>
      <c r="AC9" s="18"/>
      <c r="AD9" s="42"/>
      <c r="AE9" s="18"/>
      <c r="AF9" s="18"/>
      <c r="AG9" s="18"/>
    </row>
    <row r="10" spans="1:33" ht="14.4" x14ac:dyDescent="0.3">
      <c r="A10" s="23">
        <f t="shared" si="0"/>
        <v>0</v>
      </c>
      <c r="B10" s="24">
        <v>0</v>
      </c>
      <c r="C10" s="25">
        <v>8</v>
      </c>
      <c r="D10" s="6" t="s">
        <v>50</v>
      </c>
      <c r="E10" s="26">
        <v>0</v>
      </c>
      <c r="F10" s="26">
        <v>0</v>
      </c>
      <c r="G10" s="27">
        <f t="shared" si="4"/>
        <v>0</v>
      </c>
      <c r="H10" s="26">
        <f t="shared" si="1"/>
        <v>0</v>
      </c>
      <c r="I10" s="27">
        <v>0</v>
      </c>
      <c r="J10" s="28">
        <f>I10/I17*100</f>
        <v>0</v>
      </c>
      <c r="K10" s="29">
        <f t="shared" si="2"/>
        <v>0</v>
      </c>
      <c r="L10" s="6">
        <v>70</v>
      </c>
      <c r="M10" s="6"/>
      <c r="N10" s="6"/>
      <c r="O10" s="6"/>
      <c r="P10" s="6"/>
      <c r="Q10" s="6">
        <v>0</v>
      </c>
      <c r="R10" s="29">
        <f t="shared" si="3"/>
        <v>0</v>
      </c>
      <c r="S10" s="31" t="s">
        <v>51</v>
      </c>
      <c r="T10" s="32" t="s">
        <v>49</v>
      </c>
      <c r="U10" s="47">
        <v>24</v>
      </c>
      <c r="V10" s="38" t="s">
        <v>52</v>
      </c>
      <c r="W10" s="45">
        <v>20</v>
      </c>
      <c r="X10"/>
      <c r="Y10" s="45">
        <f>U11</f>
        <v>35.15789473684211</v>
      </c>
      <c r="Z10"/>
      <c r="AA10" s="45">
        <v>25</v>
      </c>
      <c r="AB10" s="18"/>
      <c r="AC10" s="18"/>
      <c r="AD10" s="42"/>
      <c r="AE10" s="18"/>
      <c r="AF10" s="18"/>
      <c r="AG10" s="18"/>
    </row>
    <row r="11" spans="1:33" ht="14.4" x14ac:dyDescent="0.3">
      <c r="A11" s="23">
        <f t="shared" si="0"/>
        <v>5</v>
      </c>
      <c r="B11" s="24">
        <v>5</v>
      </c>
      <c r="C11" s="25">
        <v>9</v>
      </c>
      <c r="D11" s="6" t="s">
        <v>53</v>
      </c>
      <c r="E11" s="26">
        <v>0</v>
      </c>
      <c r="F11" s="26">
        <v>0</v>
      </c>
      <c r="G11" s="27">
        <f>E11+F11</f>
        <v>0</v>
      </c>
      <c r="H11" s="26">
        <f t="shared" si="1"/>
        <v>0</v>
      </c>
      <c r="I11" s="27">
        <v>0</v>
      </c>
      <c r="J11" s="28">
        <f>I11/I17*100</f>
        <v>0</v>
      </c>
      <c r="K11" s="29">
        <f t="shared" si="2"/>
        <v>0</v>
      </c>
      <c r="L11" s="6">
        <v>98</v>
      </c>
      <c r="M11" s="6"/>
      <c r="N11" s="6"/>
      <c r="O11" s="6"/>
      <c r="P11" s="6"/>
      <c r="Q11" s="6">
        <v>0</v>
      </c>
      <c r="R11" s="29">
        <f t="shared" si="3"/>
        <v>0</v>
      </c>
      <c r="S11" s="31"/>
      <c r="T11" s="32" t="s">
        <v>54</v>
      </c>
      <c r="U11" s="47">
        <f>J5+J4</f>
        <v>35.15789473684211</v>
      </c>
      <c r="V11" s="38" t="s">
        <v>55</v>
      </c>
      <c r="W11" s="45">
        <f>SUM(W8:W10)</f>
        <v>654.89079130032405</v>
      </c>
      <c r="X11"/>
      <c r="Y11" s="45">
        <f>SUM(Y8:Y10)</f>
        <v>663.40205143391165</v>
      </c>
      <c r="Z11"/>
      <c r="AA11" s="45">
        <f>SUM(AA8:AA10)</f>
        <v>673.73421926910294</v>
      </c>
      <c r="AB11" s="18"/>
      <c r="AC11" s="18"/>
      <c r="AD11" s="42"/>
      <c r="AE11" s="18"/>
      <c r="AF11" s="18"/>
      <c r="AG11" s="18"/>
    </row>
    <row r="12" spans="1:33" ht="14.4" x14ac:dyDescent="0.3">
      <c r="A12" s="48">
        <f>+B12-H12</f>
        <v>-21.718999999999937</v>
      </c>
      <c r="B12" s="24">
        <v>755</v>
      </c>
      <c r="C12" s="25">
        <v>10</v>
      </c>
      <c r="D12" s="6" t="s">
        <v>56</v>
      </c>
      <c r="E12" s="49">
        <v>699.95899999999995</v>
      </c>
      <c r="F12" s="26">
        <v>304.76</v>
      </c>
      <c r="G12" s="27">
        <f>E12+F12</f>
        <v>1004.7189999999999</v>
      </c>
      <c r="H12" s="49">
        <f>G12-I12</f>
        <v>776.71899999999994</v>
      </c>
      <c r="I12" s="46">
        <v>228</v>
      </c>
      <c r="J12" s="28">
        <f>I12/I17*100</f>
        <v>48</v>
      </c>
      <c r="K12" s="29">
        <f t="shared" si="2"/>
        <v>44.64</v>
      </c>
      <c r="L12" s="6">
        <v>93</v>
      </c>
      <c r="M12" s="36"/>
      <c r="N12" s="6"/>
      <c r="O12" s="6"/>
      <c r="P12" s="6"/>
      <c r="Q12" s="6">
        <v>48</v>
      </c>
      <c r="R12" s="29">
        <f t="shared" si="3"/>
        <v>0</v>
      </c>
      <c r="S12" s="31" t="s">
        <v>57</v>
      </c>
      <c r="T12" s="32" t="s">
        <v>55</v>
      </c>
      <c r="U12" s="47">
        <f>U9+U10+U11</f>
        <v>663.40205143391165</v>
      </c>
      <c r="V12" s="38" t="s">
        <v>58</v>
      </c>
      <c r="W12" s="50">
        <v>16</v>
      </c>
      <c r="X12"/>
      <c r="Y12" s="50">
        <v>16</v>
      </c>
      <c r="Z12"/>
      <c r="AA12" s="50">
        <v>16</v>
      </c>
      <c r="AB12" s="18"/>
      <c r="AC12" s="18"/>
      <c r="AD12" s="42"/>
      <c r="AE12" s="18"/>
      <c r="AF12" s="18"/>
      <c r="AG12" s="18"/>
    </row>
    <row r="13" spans="1:33" ht="14.4" x14ac:dyDescent="0.3">
      <c r="A13" s="23">
        <f t="shared" si="0"/>
        <v>4.0600000000000005</v>
      </c>
      <c r="B13" s="24">
        <v>14</v>
      </c>
      <c r="C13" s="25">
        <v>11</v>
      </c>
      <c r="D13" s="6" t="s">
        <v>60</v>
      </c>
      <c r="E13" s="26">
        <v>14.94</v>
      </c>
      <c r="F13" s="26">
        <v>0</v>
      </c>
      <c r="G13" s="27">
        <f>E13+F13</f>
        <v>14.94</v>
      </c>
      <c r="H13" s="26">
        <f>G13-I13</f>
        <v>9.94</v>
      </c>
      <c r="I13" s="27">
        <v>5</v>
      </c>
      <c r="J13" s="28">
        <f>I13/I17*100</f>
        <v>1.0526315789473684</v>
      </c>
      <c r="K13" s="29">
        <f t="shared" si="2"/>
        <v>0.72252631578947368</v>
      </c>
      <c r="L13" s="6">
        <v>68.64</v>
      </c>
      <c r="M13" s="24" t="s">
        <v>61</v>
      </c>
      <c r="N13" s="6">
        <v>12</v>
      </c>
      <c r="O13" s="6" t="s">
        <v>62</v>
      </c>
      <c r="P13" s="53"/>
      <c r="Q13" s="6">
        <v>2</v>
      </c>
      <c r="R13" s="29">
        <f t="shared" si="3"/>
        <v>0.94736842105263164</v>
      </c>
      <c r="S13" s="31">
        <v>5</v>
      </c>
      <c r="T13" s="32" t="s">
        <v>58</v>
      </c>
      <c r="U13" s="24">
        <v>20</v>
      </c>
      <c r="V13" s="38" t="s">
        <v>63</v>
      </c>
      <c r="W13" s="34">
        <v>10060</v>
      </c>
      <c r="X13"/>
      <c r="Y13" s="34">
        <v>10670</v>
      </c>
      <c r="Z13"/>
      <c r="AA13" s="34">
        <v>12000</v>
      </c>
      <c r="AB13" s="18"/>
      <c r="AC13" s="18"/>
      <c r="AD13" s="42"/>
      <c r="AE13" s="18"/>
      <c r="AF13" s="18"/>
      <c r="AG13" s="18"/>
    </row>
    <row r="14" spans="1:33" ht="14.4" x14ac:dyDescent="0.3">
      <c r="A14" s="23">
        <f t="shared" si="0"/>
        <v>21.36</v>
      </c>
      <c r="B14" s="24">
        <v>90</v>
      </c>
      <c r="C14" s="25">
        <v>12</v>
      </c>
      <c r="D14" s="6" t="s">
        <v>64</v>
      </c>
      <c r="E14" s="26">
        <v>50.2</v>
      </c>
      <c r="F14" s="26">
        <v>33.44</v>
      </c>
      <c r="G14" s="27">
        <f>E14+F14</f>
        <v>83.64</v>
      </c>
      <c r="H14" s="26">
        <f t="shared" si="1"/>
        <v>68.64</v>
      </c>
      <c r="I14" s="27">
        <v>15</v>
      </c>
      <c r="J14" s="28">
        <f>I14/I17*100</f>
        <v>3.1578947368421053</v>
      </c>
      <c r="K14" s="29">
        <f>+J14*L14%</f>
        <v>3.094736842105263</v>
      </c>
      <c r="L14" s="6">
        <v>98</v>
      </c>
      <c r="M14" s="6"/>
      <c r="N14" s="6"/>
      <c r="O14" s="6"/>
      <c r="P14" s="30"/>
      <c r="Q14" s="6">
        <v>3</v>
      </c>
      <c r="R14" s="29">
        <f t="shared" si="3"/>
        <v>-0.15789473684210531</v>
      </c>
      <c r="S14" s="31">
        <v>6</v>
      </c>
      <c r="T14" s="32" t="s">
        <v>63</v>
      </c>
      <c r="U14" s="24">
        <v>12000</v>
      </c>
      <c r="V14" s="38" t="s">
        <v>65</v>
      </c>
      <c r="W14" s="54">
        <v>0.92</v>
      </c>
      <c r="X14"/>
      <c r="Y14" s="54">
        <v>0.92</v>
      </c>
      <c r="Z14"/>
      <c r="AA14" s="54">
        <v>0.92</v>
      </c>
      <c r="AB14" s="18"/>
      <c r="AC14" s="18"/>
      <c r="AD14" s="42"/>
      <c r="AE14" s="18"/>
      <c r="AF14" s="18"/>
      <c r="AG14" s="18"/>
    </row>
    <row r="15" spans="1:33" ht="14.4" x14ac:dyDescent="0.3">
      <c r="A15" s="23">
        <f t="shared" si="0"/>
        <v>0</v>
      </c>
      <c r="B15" s="24">
        <v>0</v>
      </c>
      <c r="C15" s="25">
        <v>13</v>
      </c>
      <c r="D15" s="6" t="s">
        <v>1</v>
      </c>
      <c r="E15" s="26">
        <v>0</v>
      </c>
      <c r="F15" s="26">
        <v>0</v>
      </c>
      <c r="G15" s="27">
        <f>E15+F15</f>
        <v>0</v>
      </c>
      <c r="H15" s="26">
        <f>G15-I15</f>
        <v>0</v>
      </c>
      <c r="I15" s="27">
        <v>0</v>
      </c>
      <c r="J15" s="28">
        <f>I15/I17*100</f>
        <v>0</v>
      </c>
      <c r="K15" s="29">
        <f>J15*L15</f>
        <v>0</v>
      </c>
      <c r="L15" s="55">
        <v>0.98</v>
      </c>
      <c r="M15" s="6"/>
      <c r="N15" s="6"/>
      <c r="O15" s="6"/>
      <c r="P15" s="30"/>
      <c r="Q15" s="6"/>
      <c r="R15" s="29"/>
      <c r="S15" s="31"/>
      <c r="T15" s="32"/>
      <c r="U15" s="24"/>
      <c r="V15" s="38"/>
      <c r="W15" s="54"/>
      <c r="X15"/>
      <c r="Y15" s="54"/>
      <c r="Z15"/>
      <c r="AA15" s="54"/>
      <c r="AB15" s="18"/>
      <c r="AC15" s="18"/>
      <c r="AD15" s="42"/>
      <c r="AE15" s="18"/>
      <c r="AF15" s="18"/>
      <c r="AG15" s="18"/>
    </row>
    <row r="16" spans="1:33" ht="14.4" x14ac:dyDescent="0.3">
      <c r="A16" s="23">
        <f>+B16-H16</f>
        <v>-1.0300000000000002</v>
      </c>
      <c r="B16" s="24">
        <v>5</v>
      </c>
      <c r="C16" s="25">
        <v>14</v>
      </c>
      <c r="D16" s="6" t="s">
        <v>66</v>
      </c>
      <c r="E16" s="26">
        <v>6.03</v>
      </c>
      <c r="F16" s="26">
        <v>0</v>
      </c>
      <c r="G16" s="27">
        <f t="shared" si="4"/>
        <v>6.03</v>
      </c>
      <c r="H16" s="26">
        <f t="shared" si="1"/>
        <v>6.03</v>
      </c>
      <c r="I16" s="27">
        <v>0</v>
      </c>
      <c r="J16" s="28">
        <f>I16/I17*100</f>
        <v>0</v>
      </c>
      <c r="K16" s="29">
        <f>+J16*L16%</f>
        <v>0</v>
      </c>
      <c r="L16" s="6">
        <v>94</v>
      </c>
      <c r="M16" s="8" t="s">
        <v>67</v>
      </c>
      <c r="N16" s="6" t="s">
        <v>68</v>
      </c>
      <c r="O16" s="36" t="s">
        <v>69</v>
      </c>
      <c r="P16" s="6"/>
      <c r="Q16" s="6"/>
      <c r="R16" s="29"/>
      <c r="S16" s="31">
        <v>7</v>
      </c>
      <c r="T16" s="32" t="s">
        <v>65</v>
      </c>
      <c r="U16" s="56">
        <v>0.9</v>
      </c>
      <c r="V16" s="57" t="s">
        <v>70</v>
      </c>
      <c r="W16" s="58">
        <f>(W13*W14)/(W11-W10)</f>
        <v>14.577625202350729</v>
      </c>
      <c r="X16"/>
      <c r="Y16" s="58">
        <f>(Y13*Y14)/(Y11-Y10)</f>
        <v>15.625135379863673</v>
      </c>
      <c r="Z16"/>
      <c r="AA16" s="58">
        <f>(AA13*AA14)/(AA11-AA10)</f>
        <v>17.017754994392352</v>
      </c>
      <c r="AB16" s="18"/>
      <c r="AC16" s="18"/>
      <c r="AD16" s="42"/>
      <c r="AE16" s="18"/>
      <c r="AF16" s="18"/>
      <c r="AG16" s="18"/>
    </row>
    <row r="17" spans="1:33" ht="14.4" x14ac:dyDescent="0.3">
      <c r="A17" s="59">
        <f>+B17-H17</f>
        <v>98.855999999999767</v>
      </c>
      <c r="B17" s="6">
        <f>SUM(B3:B14)+B16</f>
        <v>2128</v>
      </c>
      <c r="C17" s="8"/>
      <c r="D17" s="6" t="s">
        <v>10</v>
      </c>
      <c r="E17" s="26">
        <f>SUM(E3:E16)</f>
        <v>1916.5239999999999</v>
      </c>
      <c r="F17" s="27">
        <f>SUM(F3:F16)</f>
        <v>587.62000000000012</v>
      </c>
      <c r="G17" s="27">
        <f>E17+F17</f>
        <v>2504.1440000000002</v>
      </c>
      <c r="H17" s="26">
        <f>SUM(H3:H16)</f>
        <v>2029.1440000000002</v>
      </c>
      <c r="I17" s="27">
        <f>SUM(I3:I16)</f>
        <v>475</v>
      </c>
      <c r="J17" s="28">
        <f>SUM(J3:J16)</f>
        <v>100.00000000000001</v>
      </c>
      <c r="K17" s="29">
        <f>SUM(K3:K16)</f>
        <v>85.920736842105271</v>
      </c>
      <c r="L17" s="6"/>
      <c r="M17" s="30">
        <f>+O2/I17*100</f>
        <v>85.910315789473685</v>
      </c>
      <c r="N17" s="60">
        <f>+K17</f>
        <v>85.920736842105271</v>
      </c>
      <c r="O17" s="27">
        <f>+M17-N17</f>
        <v>-1.0421052631585326E-2</v>
      </c>
      <c r="P17" s="36">
        <f>1036+27</f>
        <v>1063</v>
      </c>
      <c r="Q17" s="6">
        <f>SUM(Q3:Q16)</f>
        <v>100</v>
      </c>
      <c r="R17" s="29">
        <f t="shared" si="3"/>
        <v>0</v>
      </c>
      <c r="S17" s="31">
        <v>8</v>
      </c>
      <c r="T17" s="32" t="s">
        <v>70</v>
      </c>
      <c r="U17" s="61">
        <f>(U14*U16)/(U12-U11)</f>
        <v>17.190768724025883</v>
      </c>
      <c r="V17" s="38" t="s">
        <v>71</v>
      </c>
      <c r="W17" s="50">
        <v>34</v>
      </c>
      <c r="X17"/>
      <c r="Y17" s="50">
        <v>34</v>
      </c>
      <c r="Z17"/>
      <c r="AA17" s="50">
        <v>34</v>
      </c>
      <c r="AB17" s="18"/>
      <c r="AC17" s="18"/>
      <c r="AD17" s="18"/>
      <c r="AE17" s="18"/>
      <c r="AF17" s="18"/>
      <c r="AG17" s="18"/>
    </row>
    <row r="18" spans="1:33" ht="14.4" x14ac:dyDescent="0.3">
      <c r="A18" s="62"/>
      <c r="B18" s="63">
        <f>+H17-B17</f>
        <v>-98.855999999999767</v>
      </c>
      <c r="C18" s="8"/>
      <c r="D18" s="6"/>
      <c r="E18" s="26"/>
      <c r="F18" s="27"/>
      <c r="G18" s="27"/>
      <c r="H18" s="26"/>
      <c r="I18" s="27"/>
      <c r="J18" s="28" t="s">
        <v>72</v>
      </c>
      <c r="K18" s="64">
        <f>P2/M3</f>
        <v>1.4384645922063155E-2</v>
      </c>
      <c r="L18" s="6"/>
      <c r="M18" s="30"/>
      <c r="N18" s="60"/>
      <c r="O18" s="27"/>
      <c r="P18" s="36">
        <f>+P17-P19</f>
        <v>211.6110000000001</v>
      </c>
      <c r="Q18" s="6"/>
      <c r="R18" s="29"/>
      <c r="S18" s="31"/>
      <c r="T18" s="32"/>
      <c r="U18" s="61"/>
      <c r="V18" s="38"/>
      <c r="W18" s="50"/>
      <c r="X18"/>
      <c r="Y18" s="50"/>
      <c r="Z18"/>
      <c r="AA18" s="50"/>
      <c r="AB18" s="18"/>
      <c r="AC18" s="18"/>
      <c r="AD18" s="18"/>
      <c r="AE18" s="18"/>
      <c r="AF18" s="18"/>
      <c r="AG18" s="18"/>
    </row>
    <row r="19" spans="1:33" ht="23.4" x14ac:dyDescent="0.45">
      <c r="A19" s="6">
        <f>B3+B4+B5+B13</f>
        <v>834</v>
      </c>
      <c r="B19" s="6">
        <f>B12+B14+B16</f>
        <v>850</v>
      </c>
      <c r="C19" s="8"/>
      <c r="D19" s="6" t="s">
        <v>73</v>
      </c>
      <c r="E19" s="27">
        <v>0</v>
      </c>
      <c r="F19" s="27">
        <v>0</v>
      </c>
      <c r="G19" s="27">
        <f>+E19+F19</f>
        <v>0</v>
      </c>
      <c r="H19" s="27">
        <f>G19-I19</f>
        <v>0</v>
      </c>
      <c r="I19" s="27">
        <f>F19</f>
        <v>0</v>
      </c>
      <c r="J19" s="65"/>
      <c r="K19" s="29"/>
      <c r="L19" s="6" t="s">
        <v>74</v>
      </c>
      <c r="M19" s="25" t="s">
        <v>75</v>
      </c>
      <c r="N19" s="66">
        <f>H3+H4+H5+H13+H10</f>
        <v>795.87000000000012</v>
      </c>
      <c r="O19" s="65" t="s">
        <v>76</v>
      </c>
      <c r="P19" s="67">
        <f>H12+H14+H16</f>
        <v>851.3889999999999</v>
      </c>
      <c r="Q19" s="27">
        <f>+P19+N19</f>
        <v>1647.259</v>
      </c>
      <c r="R19" s="68"/>
      <c r="S19" s="31">
        <v>9</v>
      </c>
      <c r="T19" s="32" t="s">
        <v>71</v>
      </c>
      <c r="U19" s="24">
        <v>34</v>
      </c>
      <c r="V19" s="38" t="s">
        <v>77</v>
      </c>
      <c r="W19" s="69">
        <f>W17*60/W16</f>
        <v>139.94048904968676</v>
      </c>
      <c r="X19"/>
      <c r="Y19" s="69">
        <f>Y17*60/Y16</f>
        <v>130.55886879732103</v>
      </c>
      <c r="Z19"/>
      <c r="AA19" s="69">
        <f>AA17*60/AA16</f>
        <v>119.87480138668207</v>
      </c>
      <c r="AB19" s="18"/>
      <c r="AC19" s="18"/>
      <c r="AD19" s="18"/>
      <c r="AE19" s="18"/>
      <c r="AF19" s="18"/>
      <c r="AG19" s="18"/>
    </row>
    <row r="20" spans="1:33" ht="14.4" x14ac:dyDescent="0.3">
      <c r="A20" s="63">
        <f>A19-N19</f>
        <v>38.129999999999882</v>
      </c>
      <c r="B20" s="70">
        <f>B19-P19</f>
        <v>-1.3889999999998963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31">
        <v>10</v>
      </c>
      <c r="T20" s="32" t="s">
        <v>77</v>
      </c>
      <c r="U20" s="71">
        <f>U19*60/U17</f>
        <v>118.66834070944648</v>
      </c>
      <c r="V20" s="57" t="s">
        <v>78</v>
      </c>
      <c r="W20" s="72">
        <v>5</v>
      </c>
      <c r="X20"/>
      <c r="Y20" s="72">
        <v>12</v>
      </c>
      <c r="Z20"/>
      <c r="AA20" s="72">
        <v>15</v>
      </c>
      <c r="AB20" s="18"/>
      <c r="AC20" s="18"/>
      <c r="AD20" s="18"/>
      <c r="AE20" s="18"/>
      <c r="AF20" s="18"/>
      <c r="AG20" s="18"/>
    </row>
    <row r="21" spans="1:33" ht="42" x14ac:dyDescent="0.3">
      <c r="A21" s="73"/>
      <c r="B21" s="74"/>
      <c r="C21" s="74"/>
      <c r="H21" s="2"/>
      <c r="S21" s="8">
        <v>11</v>
      </c>
      <c r="T21" s="32" t="s">
        <v>78</v>
      </c>
      <c r="U21" s="75">
        <v>6</v>
      </c>
      <c r="V21" s="57" t="s">
        <v>79</v>
      </c>
      <c r="W21" s="72">
        <f>W20+W19</f>
        <v>144.94048904968676</v>
      </c>
      <c r="X21"/>
      <c r="Y21" s="72">
        <f>Y20+Y19</f>
        <v>142.55886879732103</v>
      </c>
      <c r="Z21"/>
      <c r="AA21" s="72">
        <f>AA20+AA19</f>
        <v>134.87480138668207</v>
      </c>
      <c r="AB21" s="18"/>
      <c r="AC21" s="18"/>
      <c r="AD21" s="18"/>
      <c r="AE21" s="18"/>
      <c r="AF21" s="18"/>
      <c r="AG21" s="18"/>
    </row>
    <row r="22" spans="1:33" s="82" customFormat="1" ht="14.4" x14ac:dyDescent="0.3">
      <c r="A22" s="76"/>
      <c r="B22" s="77">
        <f>A12+A16</f>
        <v>-22.748999999999938</v>
      </c>
      <c r="C22" s="78"/>
      <c r="D22" s="2"/>
      <c r="E22" s="79">
        <f>H12+H14+H16</f>
        <v>851.3889999999999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6">
        <v>12</v>
      </c>
      <c r="T22" s="32" t="s">
        <v>79</v>
      </c>
      <c r="U22" s="71">
        <f>U21+U20</f>
        <v>124.66834070944648</v>
      </c>
      <c r="V22" s="38" t="s">
        <v>80</v>
      </c>
      <c r="W22" s="80">
        <f>24*60/W21</f>
        <v>9.9351120548955549</v>
      </c>
      <c r="X22"/>
      <c r="Y22" s="80">
        <f>24*60/Y21</f>
        <v>10.101090252387444</v>
      </c>
      <c r="Z22"/>
      <c r="AA22" s="80">
        <f>24*60/AA21</f>
        <v>10.676568085327983</v>
      </c>
      <c r="AB22" s="81"/>
      <c r="AC22" s="81"/>
      <c r="AD22" s="81"/>
      <c r="AE22" s="81"/>
      <c r="AF22" s="81"/>
      <c r="AG22" s="81"/>
    </row>
    <row r="23" spans="1:33" ht="14.4" x14ac:dyDescent="0.3">
      <c r="A23" s="83"/>
      <c r="B23" s="84"/>
      <c r="C23" s="84"/>
      <c r="E23" s="2">
        <f>B12+B14+B16</f>
        <v>850</v>
      </c>
      <c r="H23" s="2"/>
      <c r="S23" s="6">
        <v>13</v>
      </c>
      <c r="T23" s="32" t="s">
        <v>80</v>
      </c>
      <c r="U23" s="85">
        <f>24*60/U22</f>
        <v>11.550647035209051</v>
      </c>
      <c r="V23" s="57" t="s">
        <v>81</v>
      </c>
      <c r="W23" s="86">
        <f>W22*W17</f>
        <v>337.7938098664489</v>
      </c>
      <c r="X23"/>
      <c r="Y23" s="86">
        <f>Y22*Y17</f>
        <v>343.43706858117309</v>
      </c>
      <c r="Z23"/>
      <c r="AA23" s="86">
        <f>AA22*AA17</f>
        <v>363.00331490115138</v>
      </c>
      <c r="AB23" s="18"/>
      <c r="AC23" s="18"/>
      <c r="AD23" s="18"/>
      <c r="AE23" s="18"/>
      <c r="AF23" s="18"/>
      <c r="AG23" s="18"/>
    </row>
    <row r="24" spans="1:33" ht="15" thickBot="1" x14ac:dyDescent="0.35">
      <c r="A24" s="73"/>
      <c r="B24" s="74"/>
      <c r="C24" s="87"/>
      <c r="E24" s="79">
        <f>E23-E22</f>
        <v>-1.3889999999998963</v>
      </c>
      <c r="H24" s="2"/>
      <c r="S24" s="6">
        <v>14</v>
      </c>
      <c r="T24" s="88" t="s">
        <v>81</v>
      </c>
      <c r="U24" s="89">
        <f>U23*U19</f>
        <v>392.72199919710772</v>
      </c>
      <c r="V24" s="57" t="s">
        <v>82</v>
      </c>
      <c r="W24" s="3">
        <v>65</v>
      </c>
      <c r="X24"/>
      <c r="Y24" s="90">
        <f>+W23*W24/Y23</f>
        <v>63.931938774190954</v>
      </c>
      <c r="Z24" s="91"/>
      <c r="AA24" s="90">
        <f>+Y23*Y24/AA23</f>
        <v>60.485942524514222</v>
      </c>
      <c r="AB24" s="18"/>
      <c r="AC24" s="18"/>
      <c r="AD24" s="18"/>
      <c r="AE24" s="18"/>
      <c r="AF24" s="18"/>
      <c r="AG24" s="18"/>
    </row>
    <row r="25" spans="1:33" ht="13.8" x14ac:dyDescent="0.3">
      <c r="A25" s="83"/>
      <c r="B25" s="92"/>
      <c r="C25" s="87"/>
      <c r="H25" s="2"/>
      <c r="S25" s="18"/>
      <c r="T25" s="93"/>
      <c r="U25" s="94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1:33" ht="13.8" x14ac:dyDescent="0.3">
      <c r="A26" s="83"/>
      <c r="B26" s="95"/>
      <c r="C26" s="87"/>
      <c r="H26" s="2"/>
      <c r="S26" s="18"/>
      <c r="T26" s="81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 x14ac:dyDescent="0.2">
      <c r="C27" s="81"/>
      <c r="S27" s="18"/>
      <c r="T27" s="81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 x14ac:dyDescent="0.2">
      <c r="C28" s="81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</sheetData>
  <mergeCells count="3">
    <mergeCell ref="A1:N1"/>
    <mergeCell ref="T1:U1"/>
    <mergeCell ref="C20:R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BFD6-58E7-4BCB-A3E8-7CA462BC85C2}">
  <dimension ref="A1:AG28"/>
  <sheetViews>
    <sheetView zoomScale="150" zoomScaleNormal="150" workbookViewId="0">
      <selection activeCell="H17" sqref="H17"/>
    </sheetView>
  </sheetViews>
  <sheetFormatPr defaultColWidth="9.109375" defaultRowHeight="10.199999999999999" x14ac:dyDescent="0.2"/>
  <cols>
    <col min="1" max="1" width="14.109375" style="2" bestFit="1" customWidth="1"/>
    <col min="2" max="2" width="7.88671875" style="2" bestFit="1" customWidth="1"/>
    <col min="3" max="3" width="8.44140625" style="82" bestFit="1" customWidth="1"/>
    <col min="4" max="4" width="17.5546875" style="2" bestFit="1" customWidth="1"/>
    <col min="5" max="5" width="10.88671875" style="2" bestFit="1" customWidth="1"/>
    <col min="6" max="6" width="7.33203125" style="2" bestFit="1" customWidth="1"/>
    <col min="7" max="7" width="9.109375" style="2"/>
    <col min="8" max="8" width="10" style="82" customWidth="1"/>
    <col min="9" max="9" width="9.5546875" style="2" bestFit="1" customWidth="1"/>
    <col min="10" max="10" width="10.44140625" style="2" bestFit="1" customWidth="1"/>
    <col min="11" max="11" width="12" style="2" customWidth="1"/>
    <col min="12" max="12" width="10.109375" style="2" bestFit="1" customWidth="1"/>
    <col min="13" max="13" width="10.5546875" style="2" bestFit="1" customWidth="1"/>
    <col min="14" max="14" width="15" style="2" customWidth="1"/>
    <col min="15" max="15" width="12.109375" style="2" customWidth="1"/>
    <col min="16" max="16" width="15.33203125" style="2" customWidth="1"/>
    <col min="17" max="17" width="7.44140625" style="2" bestFit="1" customWidth="1"/>
    <col min="18" max="18" width="7.6640625" style="2" customWidth="1"/>
    <col min="19" max="19" width="5.33203125" style="2" bestFit="1" customWidth="1"/>
    <col min="20" max="20" width="27.5546875" style="82" customWidth="1"/>
    <col min="21" max="21" width="11.44140625" style="2" bestFit="1" customWidth="1"/>
    <col min="22" max="22" width="30.88671875" style="2" customWidth="1"/>
    <col min="23" max="23" width="11.44140625" style="2" bestFit="1" customWidth="1"/>
    <col min="24" max="24" width="6.109375" style="2" bestFit="1" customWidth="1"/>
    <col min="25" max="25" width="11.44140625" style="2" bestFit="1" customWidth="1"/>
    <col min="26" max="26" width="5.44140625" style="2" bestFit="1" customWidth="1"/>
    <col min="27" max="27" width="11.44140625" style="2" bestFit="1" customWidth="1"/>
    <col min="28" max="28" width="6.6640625" style="2" bestFit="1" customWidth="1"/>
    <col min="29" max="29" width="5.5546875" style="2" bestFit="1" customWidth="1"/>
    <col min="30" max="30" width="7" style="2" bestFit="1" customWidth="1"/>
    <col min="31" max="31" width="4.44140625" style="2" bestFit="1" customWidth="1"/>
    <col min="32" max="16384" width="9.109375" style="2"/>
  </cols>
  <sheetData>
    <row r="1" spans="1:33" ht="15" thickBot="1" x14ac:dyDescent="0.35">
      <c r="A1" s="96" t="s">
        <v>92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1" t="s">
        <v>0</v>
      </c>
      <c r="P1" s="1" t="s">
        <v>1</v>
      </c>
      <c r="Q1" s="1"/>
      <c r="R1" s="1"/>
      <c r="T1" s="97" t="s">
        <v>2</v>
      </c>
      <c r="U1" s="98"/>
      <c r="V1" s="3" t="s">
        <v>3</v>
      </c>
      <c r="W1" s="4">
        <v>0.5</v>
      </c>
      <c r="X1"/>
      <c r="Y1" s="5">
        <v>0.4</v>
      </c>
      <c r="Z1"/>
      <c r="AA1" s="5">
        <v>0.3</v>
      </c>
    </row>
    <row r="2" spans="1:33" ht="14.4" x14ac:dyDescent="0.3">
      <c r="A2" s="6" t="s">
        <v>4</v>
      </c>
      <c r="B2" s="7" t="s">
        <v>5</v>
      </c>
      <c r="C2" s="8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8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9" t="s">
        <v>17</v>
      </c>
      <c r="O2" s="10">
        <v>407.29599999999999</v>
      </c>
      <c r="P2" s="11">
        <v>6.14</v>
      </c>
      <c r="Q2" s="6" t="s">
        <v>18</v>
      </c>
      <c r="R2" s="6" t="s">
        <v>19</v>
      </c>
      <c r="S2" s="12" t="s">
        <v>20</v>
      </c>
      <c r="T2" s="13" t="s">
        <v>21</v>
      </c>
      <c r="U2" s="14" t="s">
        <v>22</v>
      </c>
      <c r="V2" s="15" t="s">
        <v>21</v>
      </c>
      <c r="W2" s="16" t="s">
        <v>22</v>
      </c>
      <c r="X2"/>
      <c r="Y2" s="17" t="s">
        <v>22</v>
      </c>
      <c r="Z2"/>
      <c r="AA2" s="17" t="s">
        <v>22</v>
      </c>
      <c r="AB2" s="18"/>
      <c r="AC2" s="18"/>
      <c r="AD2" s="19"/>
      <c r="AE2" s="20"/>
      <c r="AF2" s="21"/>
      <c r="AG2" s="22"/>
    </row>
    <row r="3" spans="1:33" ht="14.4" x14ac:dyDescent="0.3">
      <c r="A3" s="23">
        <f>+B3-H3</f>
        <v>10.590000000000032</v>
      </c>
      <c r="B3" s="24">
        <v>489</v>
      </c>
      <c r="C3" s="25">
        <v>1</v>
      </c>
      <c r="D3" s="6" t="s">
        <v>23</v>
      </c>
      <c r="E3" s="26">
        <v>410.58</v>
      </c>
      <c r="F3" s="26">
        <v>122.83</v>
      </c>
      <c r="G3" s="27">
        <f>E3+F3</f>
        <v>533.41</v>
      </c>
      <c r="H3" s="26">
        <f>G3-I3</f>
        <v>478.40999999999997</v>
      </c>
      <c r="I3" s="27">
        <v>55</v>
      </c>
      <c r="J3" s="28">
        <f>I3/I17*100</f>
        <v>11.627906976744185</v>
      </c>
      <c r="K3" s="29">
        <f>+J3*L3%</f>
        <v>9.3081395348837201</v>
      </c>
      <c r="L3" s="30">
        <v>80.05</v>
      </c>
      <c r="M3" s="27">
        <f>O2</f>
        <v>407.29599999999999</v>
      </c>
      <c r="N3" s="28">
        <f>U24</f>
        <v>394.18234766923547</v>
      </c>
      <c r="O3" s="30" t="s">
        <v>24</v>
      </c>
      <c r="P3" s="27" t="s">
        <v>25</v>
      </c>
      <c r="Q3" s="6">
        <v>16</v>
      </c>
      <c r="R3" s="29">
        <f>Q3-J3</f>
        <v>4.3720930232558146</v>
      </c>
      <c r="S3" s="31"/>
      <c r="T3" s="32" t="s">
        <v>26</v>
      </c>
      <c r="U3" s="24">
        <v>30</v>
      </c>
      <c r="V3" s="33" t="s">
        <v>26</v>
      </c>
      <c r="W3" s="34">
        <v>30</v>
      </c>
      <c r="X3"/>
      <c r="Y3" s="34">
        <v>30</v>
      </c>
      <c r="Z3"/>
      <c r="AA3" s="34">
        <v>30</v>
      </c>
      <c r="AB3" s="18"/>
      <c r="AC3" s="18"/>
      <c r="AD3" s="18"/>
      <c r="AE3" s="35"/>
      <c r="AF3" s="18"/>
      <c r="AG3" s="18"/>
    </row>
    <row r="4" spans="1:33" ht="14.4" x14ac:dyDescent="0.3">
      <c r="A4" s="23">
        <f t="shared" ref="A4:A15" si="0">+B4-H4</f>
        <v>-0.98000000000001819</v>
      </c>
      <c r="B4" s="24">
        <v>332</v>
      </c>
      <c r="C4" s="25">
        <v>2</v>
      </c>
      <c r="D4" s="6" t="s">
        <v>27</v>
      </c>
      <c r="E4" s="26">
        <v>246.12</v>
      </c>
      <c r="F4" s="26">
        <v>151.86000000000001</v>
      </c>
      <c r="G4" s="27">
        <f>E4+F4</f>
        <v>397.98</v>
      </c>
      <c r="H4" s="26">
        <f t="shared" ref="H4:H16" si="1">G4-I4</f>
        <v>332.98</v>
      </c>
      <c r="I4" s="27">
        <v>65</v>
      </c>
      <c r="J4" s="28">
        <f>I4/I17*100</f>
        <v>13.742071881606766</v>
      </c>
      <c r="K4" s="29">
        <f t="shared" ref="K4:K13" si="2">+J4*L4%</f>
        <v>10.431606765327695</v>
      </c>
      <c r="L4" s="30">
        <v>75.91</v>
      </c>
      <c r="M4" s="6" t="s">
        <v>28</v>
      </c>
      <c r="N4" s="6" t="s">
        <v>29</v>
      </c>
      <c r="O4" s="36">
        <v>264519</v>
      </c>
      <c r="P4" s="36">
        <v>22791</v>
      </c>
      <c r="Q4" s="6">
        <v>13</v>
      </c>
      <c r="R4" s="29">
        <f t="shared" ref="R4:R17" si="3">Q4-J4</f>
        <v>-0.74207188160676552</v>
      </c>
      <c r="S4" s="31">
        <v>1</v>
      </c>
      <c r="T4" s="32" t="s">
        <v>30</v>
      </c>
      <c r="U4" s="37">
        <f>M17</f>
        <v>86.109090909090909</v>
      </c>
      <c r="V4" s="38" t="s">
        <v>30</v>
      </c>
      <c r="W4" s="39">
        <v>86.44</v>
      </c>
      <c r="X4"/>
      <c r="Y4" s="39">
        <f>U4</f>
        <v>86.109090909090909</v>
      </c>
      <c r="Z4"/>
      <c r="AA4" s="39">
        <v>84.28</v>
      </c>
      <c r="AB4" s="18"/>
      <c r="AC4" s="18"/>
      <c r="AD4" s="18"/>
      <c r="AE4" s="18"/>
      <c r="AF4" s="18"/>
      <c r="AG4" s="18"/>
    </row>
    <row r="5" spans="1:33" ht="14.4" x14ac:dyDescent="0.3">
      <c r="A5" s="23">
        <f t="shared" si="0"/>
        <v>17.009999999999991</v>
      </c>
      <c r="B5" s="24">
        <v>158</v>
      </c>
      <c r="C5" s="25">
        <v>3</v>
      </c>
      <c r="D5" s="6" t="s">
        <v>31</v>
      </c>
      <c r="E5" s="26">
        <v>129.22999999999999</v>
      </c>
      <c r="F5" s="26">
        <v>119.76</v>
      </c>
      <c r="G5" s="27">
        <f>E5+F5</f>
        <v>248.99</v>
      </c>
      <c r="H5" s="26">
        <f t="shared" si="1"/>
        <v>140.99</v>
      </c>
      <c r="I5" s="27">
        <v>108</v>
      </c>
      <c r="J5" s="28">
        <f>I5/I17*100</f>
        <v>22.832980972515855</v>
      </c>
      <c r="K5" s="29">
        <f t="shared" si="2"/>
        <v>18.038054968287526</v>
      </c>
      <c r="L5" s="30">
        <v>79</v>
      </c>
      <c r="M5" s="36">
        <f>O4/O2</f>
        <v>649.45150455688247</v>
      </c>
      <c r="N5" s="36">
        <f>+U12</f>
        <v>662.37403934060899</v>
      </c>
      <c r="O5" s="36">
        <f>+N5-M5</f>
        <v>12.922534783726519</v>
      </c>
      <c r="P5" s="36">
        <f>+P4/O2</f>
        <v>55.956847108736646</v>
      </c>
      <c r="Q5" s="6">
        <v>18</v>
      </c>
      <c r="R5" s="29">
        <f t="shared" si="3"/>
        <v>-4.8329809725158555</v>
      </c>
      <c r="S5" s="31"/>
      <c r="T5" s="32" t="s">
        <v>32</v>
      </c>
      <c r="U5" s="40" t="s">
        <v>33</v>
      </c>
      <c r="V5" s="38" t="s">
        <v>32</v>
      </c>
      <c r="W5" s="41" t="s">
        <v>33</v>
      </c>
      <c r="X5"/>
      <c r="Y5" s="41" t="s">
        <v>33</v>
      </c>
      <c r="Z5"/>
      <c r="AA5" s="41" t="s">
        <v>33</v>
      </c>
      <c r="AB5" s="18"/>
      <c r="AC5" s="18"/>
      <c r="AD5" s="42"/>
      <c r="AE5" s="18"/>
      <c r="AF5" s="18"/>
      <c r="AG5" s="18"/>
    </row>
    <row r="6" spans="1:33" ht="14.4" x14ac:dyDescent="0.3">
      <c r="A6" s="23">
        <f t="shared" si="0"/>
        <v>36.449999999999989</v>
      </c>
      <c r="B6" s="24">
        <v>351</v>
      </c>
      <c r="C6" s="25">
        <v>4</v>
      </c>
      <c r="D6" s="6" t="s">
        <v>34</v>
      </c>
      <c r="E6" s="26">
        <v>314.55</v>
      </c>
      <c r="F6" s="26">
        <v>0</v>
      </c>
      <c r="G6" s="27">
        <f t="shared" ref="G6:G16" si="4">E6+F6</f>
        <v>314.55</v>
      </c>
      <c r="H6" s="26">
        <f>G6-I6</f>
        <v>314.55</v>
      </c>
      <c r="I6" s="27">
        <v>0</v>
      </c>
      <c r="J6" s="28">
        <f>I6/I17*100</f>
        <v>0</v>
      </c>
      <c r="K6" s="29">
        <f t="shared" si="2"/>
        <v>0</v>
      </c>
      <c r="L6" s="6">
        <v>94</v>
      </c>
      <c r="M6" s="6" t="s">
        <v>35</v>
      </c>
      <c r="N6" s="6"/>
      <c r="O6" s="6" t="s">
        <v>36</v>
      </c>
      <c r="P6" s="6">
        <v>3706</v>
      </c>
      <c r="Q6" s="6">
        <v>0</v>
      </c>
      <c r="R6" s="29">
        <f t="shared" si="3"/>
        <v>0</v>
      </c>
      <c r="S6" s="31"/>
      <c r="T6" s="32" t="s">
        <v>37</v>
      </c>
      <c r="U6" s="40" t="s">
        <v>38</v>
      </c>
      <c r="V6" s="38" t="s">
        <v>37</v>
      </c>
      <c r="W6" s="41" t="s">
        <v>39</v>
      </c>
      <c r="X6"/>
      <c r="Y6" s="41" t="s">
        <v>39</v>
      </c>
      <c r="Z6"/>
      <c r="AA6" s="41" t="s">
        <v>39</v>
      </c>
      <c r="AB6" s="43"/>
      <c r="AC6" s="44"/>
      <c r="AD6" s="44"/>
      <c r="AE6" s="44"/>
      <c r="AF6" s="18"/>
      <c r="AG6" s="18"/>
    </row>
    <row r="7" spans="1:33" ht="14.4" x14ac:dyDescent="0.3">
      <c r="A7" s="23">
        <v>0</v>
      </c>
      <c r="B7" s="24">
        <v>0</v>
      </c>
      <c r="C7" s="25">
        <v>5</v>
      </c>
      <c r="D7" s="6" t="s">
        <v>40</v>
      </c>
      <c r="E7" s="26">
        <v>0</v>
      </c>
      <c r="F7" s="26">
        <v>0</v>
      </c>
      <c r="G7" s="27">
        <f t="shared" si="4"/>
        <v>0</v>
      </c>
      <c r="H7" s="26">
        <f t="shared" si="1"/>
        <v>0</v>
      </c>
      <c r="I7" s="27">
        <v>0</v>
      </c>
      <c r="J7" s="28">
        <f>I7/I17*100</f>
        <v>0</v>
      </c>
      <c r="K7" s="29">
        <f t="shared" si="2"/>
        <v>0</v>
      </c>
      <c r="L7" s="6">
        <v>88</v>
      </c>
      <c r="M7" s="36">
        <f>+P5+P8</f>
        <v>65.055880735386552</v>
      </c>
      <c r="N7" s="36">
        <v>67</v>
      </c>
      <c r="O7" s="36">
        <f>+N7-M7</f>
        <v>1.9441192646134482</v>
      </c>
      <c r="P7" s="36"/>
      <c r="Q7" s="6">
        <v>0</v>
      </c>
      <c r="R7" s="29">
        <f t="shared" si="3"/>
        <v>0</v>
      </c>
      <c r="S7" s="31">
        <v>2</v>
      </c>
      <c r="T7" s="32" t="s">
        <v>41</v>
      </c>
      <c r="U7" s="40">
        <v>455</v>
      </c>
      <c r="V7" s="38" t="s">
        <v>41</v>
      </c>
      <c r="W7" s="41">
        <v>465</v>
      </c>
      <c r="X7"/>
      <c r="Y7" s="41">
        <v>455</v>
      </c>
      <c r="Z7"/>
      <c r="AA7" s="41">
        <v>455</v>
      </c>
      <c r="AB7" s="18"/>
      <c r="AC7" s="18"/>
      <c r="AD7" s="42"/>
      <c r="AE7" s="18"/>
      <c r="AF7" s="18"/>
      <c r="AG7" s="18"/>
    </row>
    <row r="8" spans="1:33" ht="14.4" x14ac:dyDescent="0.3">
      <c r="A8" s="23">
        <f t="shared" si="0"/>
        <v>20.265000000000001</v>
      </c>
      <c r="B8" s="24">
        <v>98</v>
      </c>
      <c r="C8" s="25">
        <v>6</v>
      </c>
      <c r="D8" s="6" t="s">
        <v>42</v>
      </c>
      <c r="E8" s="26">
        <v>67.334999999999994</v>
      </c>
      <c r="F8" s="26">
        <v>10.4</v>
      </c>
      <c r="G8" s="27">
        <f t="shared" si="4"/>
        <v>77.734999999999999</v>
      </c>
      <c r="H8" s="26">
        <f t="shared" si="1"/>
        <v>77.734999999999999</v>
      </c>
      <c r="I8" s="27">
        <v>0</v>
      </c>
      <c r="J8" s="28">
        <f>I8/I17*100</f>
        <v>0</v>
      </c>
      <c r="K8" s="29">
        <f t="shared" si="2"/>
        <v>0</v>
      </c>
      <c r="L8" s="6">
        <v>90</v>
      </c>
      <c r="M8" s="30" t="s">
        <v>43</v>
      </c>
      <c r="N8" s="30" t="s">
        <v>44</v>
      </c>
      <c r="O8" s="6" t="s">
        <v>45</v>
      </c>
      <c r="P8" s="36">
        <f>+P6/O2</f>
        <v>9.0990336266499057</v>
      </c>
      <c r="Q8" s="6">
        <v>0</v>
      </c>
      <c r="R8" s="29">
        <f t="shared" si="3"/>
        <v>0</v>
      </c>
      <c r="S8" s="31"/>
      <c r="T8" s="32"/>
      <c r="U8" s="40"/>
      <c r="V8" s="38" t="s">
        <v>46</v>
      </c>
      <c r="W8" s="45">
        <f>((W7*(2-W4/100))/(W4/100))</f>
        <v>610.89079130032405</v>
      </c>
      <c r="X8"/>
      <c r="Y8" s="45">
        <f>((Y7*(2-Y4/100))/(Y4/100))</f>
        <v>601.79898648648634</v>
      </c>
      <c r="Z8"/>
      <c r="AA8" s="45">
        <f>((AA7*(2-AA4/100))/(AA4/100))</f>
        <v>624.73421926910294</v>
      </c>
      <c r="AB8" s="18"/>
      <c r="AC8" s="18"/>
      <c r="AD8" s="42"/>
      <c r="AE8" s="18"/>
      <c r="AF8" s="18"/>
      <c r="AG8" s="18"/>
    </row>
    <row r="9" spans="1:33" ht="14.4" x14ac:dyDescent="0.3">
      <c r="A9" s="23">
        <f t="shared" si="0"/>
        <v>0</v>
      </c>
      <c r="B9" s="24">
        <v>0</v>
      </c>
      <c r="C9" s="25">
        <v>7</v>
      </c>
      <c r="D9" s="6" t="s">
        <v>47</v>
      </c>
      <c r="E9" s="26">
        <v>0</v>
      </c>
      <c r="F9" s="26">
        <v>0</v>
      </c>
      <c r="G9" s="46">
        <f t="shared" si="4"/>
        <v>0</v>
      </c>
      <c r="H9" s="26">
        <f t="shared" si="1"/>
        <v>0</v>
      </c>
      <c r="I9" s="27">
        <v>0</v>
      </c>
      <c r="J9" s="28">
        <f>I9/I17*100</f>
        <v>0</v>
      </c>
      <c r="K9" s="29">
        <f t="shared" si="2"/>
        <v>0</v>
      </c>
      <c r="L9" s="6">
        <v>93</v>
      </c>
      <c r="M9" s="36">
        <f>+M5+M7</f>
        <v>714.50738529226896</v>
      </c>
      <c r="N9" s="36">
        <f>+N5+N7</f>
        <v>729.37403934060899</v>
      </c>
      <c r="O9" s="36">
        <f>+N9-M9</f>
        <v>14.866654048340024</v>
      </c>
      <c r="P9" s="36"/>
      <c r="Q9" s="6">
        <v>0</v>
      </c>
      <c r="R9" s="29">
        <f t="shared" si="3"/>
        <v>0</v>
      </c>
      <c r="S9" s="31" t="s">
        <v>48</v>
      </c>
      <c r="T9" s="32" t="s">
        <v>46</v>
      </c>
      <c r="U9" s="47">
        <f>((U7*(2-U4/100))/(U4/100))</f>
        <v>601.79898648648634</v>
      </c>
      <c r="V9" s="38" t="s">
        <v>49</v>
      </c>
      <c r="W9" s="45">
        <v>24</v>
      </c>
      <c r="X9"/>
      <c r="Y9" s="45">
        <v>24</v>
      </c>
      <c r="Z9"/>
      <c r="AA9" s="45">
        <v>24</v>
      </c>
      <c r="AB9" s="18"/>
      <c r="AC9" s="18"/>
      <c r="AD9" s="42"/>
      <c r="AE9" s="18"/>
      <c r="AF9" s="18"/>
      <c r="AG9" s="18"/>
    </row>
    <row r="10" spans="1:33" ht="14.4" x14ac:dyDescent="0.3">
      <c r="A10" s="23">
        <f t="shared" si="0"/>
        <v>0</v>
      </c>
      <c r="B10" s="24">
        <v>0</v>
      </c>
      <c r="C10" s="25">
        <v>8</v>
      </c>
      <c r="D10" s="6" t="s">
        <v>50</v>
      </c>
      <c r="E10" s="26">
        <v>0</v>
      </c>
      <c r="F10" s="26">
        <v>0</v>
      </c>
      <c r="G10" s="27">
        <f t="shared" si="4"/>
        <v>0</v>
      </c>
      <c r="H10" s="26">
        <f t="shared" si="1"/>
        <v>0</v>
      </c>
      <c r="I10" s="27">
        <v>0</v>
      </c>
      <c r="J10" s="28">
        <f>I10/I17*100</f>
        <v>0</v>
      </c>
      <c r="K10" s="29">
        <f t="shared" si="2"/>
        <v>0</v>
      </c>
      <c r="L10" s="6">
        <v>70</v>
      </c>
      <c r="M10" s="6"/>
      <c r="N10" s="6"/>
      <c r="O10" s="6"/>
      <c r="P10" s="6"/>
      <c r="Q10" s="6">
        <v>0</v>
      </c>
      <c r="R10" s="29">
        <f t="shared" si="3"/>
        <v>0</v>
      </c>
      <c r="S10" s="31" t="s">
        <v>51</v>
      </c>
      <c r="T10" s="32" t="s">
        <v>49</v>
      </c>
      <c r="U10" s="47">
        <v>24</v>
      </c>
      <c r="V10" s="38" t="s">
        <v>52</v>
      </c>
      <c r="W10" s="45">
        <v>20</v>
      </c>
      <c r="X10"/>
      <c r="Y10" s="45">
        <f>U11</f>
        <v>36.575052854122617</v>
      </c>
      <c r="Z10"/>
      <c r="AA10" s="45">
        <v>25</v>
      </c>
      <c r="AB10" s="18"/>
      <c r="AC10" s="18"/>
      <c r="AD10" s="42"/>
      <c r="AE10" s="18"/>
      <c r="AF10" s="18"/>
      <c r="AG10" s="18"/>
    </row>
    <row r="11" spans="1:33" ht="14.4" x14ac:dyDescent="0.3">
      <c r="A11" s="23">
        <f t="shared" si="0"/>
        <v>5</v>
      </c>
      <c r="B11" s="24">
        <v>5</v>
      </c>
      <c r="C11" s="25">
        <v>9</v>
      </c>
      <c r="D11" s="6" t="s">
        <v>53</v>
      </c>
      <c r="E11" s="26">
        <v>0</v>
      </c>
      <c r="F11" s="26">
        <v>0</v>
      </c>
      <c r="G11" s="27">
        <f>E11+F11</f>
        <v>0</v>
      </c>
      <c r="H11" s="26">
        <f t="shared" si="1"/>
        <v>0</v>
      </c>
      <c r="I11" s="27">
        <v>0</v>
      </c>
      <c r="J11" s="28">
        <f>I11/I17*100</f>
        <v>0</v>
      </c>
      <c r="K11" s="29">
        <f t="shared" si="2"/>
        <v>0</v>
      </c>
      <c r="L11" s="6">
        <v>98</v>
      </c>
      <c r="M11" s="6"/>
      <c r="N11" s="6"/>
      <c r="O11" s="6"/>
      <c r="P11" s="6"/>
      <c r="Q11" s="6">
        <v>0</v>
      </c>
      <c r="R11" s="29">
        <f t="shared" si="3"/>
        <v>0</v>
      </c>
      <c r="S11" s="31"/>
      <c r="T11" s="32" t="s">
        <v>54</v>
      </c>
      <c r="U11" s="47">
        <f>J5+J4</f>
        <v>36.575052854122617</v>
      </c>
      <c r="V11" s="38" t="s">
        <v>55</v>
      </c>
      <c r="W11" s="45">
        <f>SUM(W8:W10)</f>
        <v>654.89079130032405</v>
      </c>
      <c r="X11"/>
      <c r="Y11" s="45">
        <f>SUM(Y8:Y10)</f>
        <v>662.37403934060899</v>
      </c>
      <c r="Z11"/>
      <c r="AA11" s="45">
        <f>SUM(AA8:AA10)</f>
        <v>673.73421926910294</v>
      </c>
      <c r="AB11" s="18"/>
      <c r="AC11" s="18"/>
      <c r="AD11" s="42"/>
      <c r="AE11" s="18"/>
      <c r="AF11" s="18"/>
      <c r="AG11" s="18"/>
    </row>
    <row r="12" spans="1:33" ht="14.4" x14ac:dyDescent="0.3">
      <c r="A12" s="48">
        <f>+B12-H12</f>
        <v>-9.1790000000000873</v>
      </c>
      <c r="B12" s="24">
        <v>829</v>
      </c>
      <c r="C12" s="25">
        <v>10</v>
      </c>
      <c r="D12" s="6" t="s">
        <v>56</v>
      </c>
      <c r="E12" s="49">
        <v>776.71900000000005</v>
      </c>
      <c r="F12" s="26">
        <v>287.45999999999998</v>
      </c>
      <c r="G12" s="27">
        <f>E12+F12</f>
        <v>1064.1790000000001</v>
      </c>
      <c r="H12" s="49">
        <f>G12-I12</f>
        <v>838.17900000000009</v>
      </c>
      <c r="I12" s="46">
        <v>226</v>
      </c>
      <c r="J12" s="28">
        <f>I12/I17*100</f>
        <v>47.780126849894295</v>
      </c>
      <c r="K12" s="29">
        <f t="shared" si="2"/>
        <v>44.435517970401698</v>
      </c>
      <c r="L12" s="6">
        <v>93</v>
      </c>
      <c r="M12" s="36"/>
      <c r="N12" s="6"/>
      <c r="O12" s="6"/>
      <c r="P12" s="6"/>
      <c r="Q12" s="6">
        <v>48</v>
      </c>
      <c r="R12" s="29">
        <f t="shared" si="3"/>
        <v>0.21987315010570541</v>
      </c>
      <c r="S12" s="31" t="s">
        <v>57</v>
      </c>
      <c r="T12" s="32" t="s">
        <v>55</v>
      </c>
      <c r="U12" s="47">
        <f>U9+U10+U11</f>
        <v>662.37403934060899</v>
      </c>
      <c r="V12" s="38" t="s">
        <v>58</v>
      </c>
      <c r="W12" s="50">
        <v>16</v>
      </c>
      <c r="X12"/>
      <c r="Y12" s="50">
        <v>16</v>
      </c>
      <c r="Z12"/>
      <c r="AA12" s="50">
        <v>16</v>
      </c>
      <c r="AB12" s="18"/>
      <c r="AC12" s="18"/>
      <c r="AD12" s="42"/>
      <c r="AE12" s="18"/>
      <c r="AF12" s="18"/>
      <c r="AG12" s="18"/>
    </row>
    <row r="13" spans="1:33" ht="14.4" x14ac:dyDescent="0.3">
      <c r="A13" s="23">
        <f t="shared" si="0"/>
        <v>-0.85000000000000142</v>
      </c>
      <c r="B13" s="24">
        <v>35</v>
      </c>
      <c r="C13" s="25">
        <v>11</v>
      </c>
      <c r="D13" s="6" t="s">
        <v>60</v>
      </c>
      <c r="E13" s="26">
        <v>9.94</v>
      </c>
      <c r="F13" s="26">
        <v>30.91</v>
      </c>
      <c r="G13" s="27">
        <f>E13+F13</f>
        <v>40.85</v>
      </c>
      <c r="H13" s="26">
        <f>G13-I13</f>
        <v>35.85</v>
      </c>
      <c r="I13" s="27">
        <v>5</v>
      </c>
      <c r="J13" s="28">
        <f>I13/I17*100</f>
        <v>1.0570824524312896</v>
      </c>
      <c r="K13" s="29">
        <f t="shared" si="2"/>
        <v>0.72558139534883725</v>
      </c>
      <c r="L13" s="6">
        <v>68.64</v>
      </c>
      <c r="M13" s="24" t="s">
        <v>61</v>
      </c>
      <c r="N13" s="6">
        <v>12</v>
      </c>
      <c r="O13" s="6" t="s">
        <v>62</v>
      </c>
      <c r="P13" s="53"/>
      <c r="Q13" s="6">
        <v>2</v>
      </c>
      <c r="R13" s="29">
        <f t="shared" si="3"/>
        <v>0.94291754756871038</v>
      </c>
      <c r="S13" s="31">
        <v>5</v>
      </c>
      <c r="T13" s="32" t="s">
        <v>58</v>
      </c>
      <c r="U13" s="24">
        <v>20</v>
      </c>
      <c r="V13" s="38" t="s">
        <v>63</v>
      </c>
      <c r="W13" s="34">
        <v>10060</v>
      </c>
      <c r="X13"/>
      <c r="Y13" s="34">
        <v>10670</v>
      </c>
      <c r="Z13"/>
      <c r="AA13" s="34">
        <v>12000</v>
      </c>
      <c r="AB13" s="18"/>
      <c r="AC13" s="18"/>
      <c r="AD13" s="42"/>
      <c r="AE13" s="18"/>
      <c r="AF13" s="18"/>
      <c r="AG13" s="18"/>
    </row>
    <row r="14" spans="1:33" ht="14.4" x14ac:dyDescent="0.3">
      <c r="A14" s="23">
        <f t="shared" si="0"/>
        <v>20.620000000000005</v>
      </c>
      <c r="B14" s="24">
        <v>85</v>
      </c>
      <c r="C14" s="25">
        <v>12</v>
      </c>
      <c r="D14" s="6" t="s">
        <v>64</v>
      </c>
      <c r="E14" s="26">
        <v>68.64</v>
      </c>
      <c r="F14" s="26">
        <v>9.74</v>
      </c>
      <c r="G14" s="27">
        <f>E14+F14</f>
        <v>78.38</v>
      </c>
      <c r="H14" s="26">
        <f t="shared" si="1"/>
        <v>64.38</v>
      </c>
      <c r="I14" s="27">
        <v>14</v>
      </c>
      <c r="J14" s="28">
        <f>I14/I17*100</f>
        <v>2.9598308668076108</v>
      </c>
      <c r="K14" s="29">
        <f>+J14*L14%</f>
        <v>2.9006342494714583</v>
      </c>
      <c r="L14" s="6">
        <v>98</v>
      </c>
      <c r="M14" s="6"/>
      <c r="N14" s="6"/>
      <c r="O14" s="6"/>
      <c r="P14" s="30"/>
      <c r="Q14" s="6">
        <v>3</v>
      </c>
      <c r="R14" s="29">
        <f t="shared" si="3"/>
        <v>4.0169133192389239E-2</v>
      </c>
      <c r="S14" s="31">
        <v>6</v>
      </c>
      <c r="T14" s="32" t="s">
        <v>63</v>
      </c>
      <c r="U14" s="24">
        <v>12000</v>
      </c>
      <c r="V14" s="38" t="s">
        <v>65</v>
      </c>
      <c r="W14" s="54">
        <v>0.92</v>
      </c>
      <c r="X14"/>
      <c r="Y14" s="54">
        <v>0.92</v>
      </c>
      <c r="Z14"/>
      <c r="AA14" s="54">
        <v>0.92</v>
      </c>
      <c r="AB14" s="18"/>
      <c r="AC14" s="18"/>
      <c r="AD14" s="42"/>
      <c r="AE14" s="18"/>
      <c r="AF14" s="18"/>
      <c r="AG14" s="18"/>
    </row>
    <row r="15" spans="1:33" ht="14.4" x14ac:dyDescent="0.3">
      <c r="A15" s="23">
        <f t="shared" si="0"/>
        <v>0</v>
      </c>
      <c r="B15" s="24">
        <v>0</v>
      </c>
      <c r="C15" s="25">
        <v>13</v>
      </c>
      <c r="D15" s="6" t="s">
        <v>1</v>
      </c>
      <c r="E15" s="26">
        <v>0</v>
      </c>
      <c r="F15" s="26">
        <v>0</v>
      </c>
      <c r="G15" s="27">
        <f>E15+F15</f>
        <v>0</v>
      </c>
      <c r="H15" s="26">
        <f>G15-I15</f>
        <v>0</v>
      </c>
      <c r="I15" s="27">
        <v>0</v>
      </c>
      <c r="J15" s="28">
        <f>I15/I17*100</f>
        <v>0</v>
      </c>
      <c r="K15" s="29">
        <f>J15*L15</f>
        <v>0</v>
      </c>
      <c r="L15" s="55">
        <v>0.98</v>
      </c>
      <c r="M15" s="6"/>
      <c r="N15" s="6"/>
      <c r="O15" s="6"/>
      <c r="P15" s="30"/>
      <c r="Q15" s="6"/>
      <c r="R15" s="29"/>
      <c r="S15" s="31"/>
      <c r="T15" s="32"/>
      <c r="U15" s="24"/>
      <c r="V15" s="38"/>
      <c r="W15" s="54"/>
      <c r="X15"/>
      <c r="Y15" s="54"/>
      <c r="Z15"/>
      <c r="AA15" s="54"/>
      <c r="AB15" s="18"/>
      <c r="AC15" s="18"/>
      <c r="AD15" s="42"/>
      <c r="AE15" s="18"/>
      <c r="AF15" s="18"/>
      <c r="AG15" s="18"/>
    </row>
    <row r="16" spans="1:33" ht="14.4" x14ac:dyDescent="0.3">
      <c r="A16" s="23">
        <f>+B16-H16</f>
        <v>-1.0300000000000002</v>
      </c>
      <c r="B16" s="24">
        <v>5</v>
      </c>
      <c r="C16" s="25">
        <v>14</v>
      </c>
      <c r="D16" s="6" t="s">
        <v>66</v>
      </c>
      <c r="E16" s="26">
        <v>6.03</v>
      </c>
      <c r="F16" s="26">
        <v>0</v>
      </c>
      <c r="G16" s="27">
        <f t="shared" si="4"/>
        <v>6.03</v>
      </c>
      <c r="H16" s="26">
        <f t="shared" si="1"/>
        <v>6.03</v>
      </c>
      <c r="I16" s="27">
        <v>0</v>
      </c>
      <c r="J16" s="28">
        <f>I16/I17*100</f>
        <v>0</v>
      </c>
      <c r="K16" s="29">
        <f>+J16*L16%</f>
        <v>0</v>
      </c>
      <c r="L16" s="6">
        <v>94</v>
      </c>
      <c r="M16" s="8" t="s">
        <v>67</v>
      </c>
      <c r="N16" s="6" t="s">
        <v>68</v>
      </c>
      <c r="O16" s="36" t="s">
        <v>69</v>
      </c>
      <c r="P16" s="6"/>
      <c r="Q16" s="6"/>
      <c r="R16" s="29"/>
      <c r="S16" s="31">
        <v>7</v>
      </c>
      <c r="T16" s="32" t="s">
        <v>65</v>
      </c>
      <c r="U16" s="56">
        <v>0.9</v>
      </c>
      <c r="V16" s="57" t="s">
        <v>70</v>
      </c>
      <c r="W16" s="58">
        <f>(W13*W14)/(W11-W10)</f>
        <v>14.577625202350729</v>
      </c>
      <c r="X16"/>
      <c r="Y16" s="58">
        <f>(Y13*Y14)/(Y11-Y10)</f>
        <v>15.68618711754973</v>
      </c>
      <c r="Z16"/>
      <c r="AA16" s="58">
        <f>(AA13*AA14)/(AA11-AA10)</f>
        <v>17.017754994392352</v>
      </c>
      <c r="AB16" s="18"/>
      <c r="AC16" s="18"/>
      <c r="AD16" s="42"/>
      <c r="AE16" s="18"/>
      <c r="AF16" s="18"/>
      <c r="AG16" s="18"/>
    </row>
    <row r="17" spans="1:33" ht="14.4" x14ac:dyDescent="0.3">
      <c r="A17" s="59">
        <f>+B17-H17</f>
        <v>97.895999999999731</v>
      </c>
      <c r="B17" s="6">
        <f>SUM(B3:B14)+B16</f>
        <v>2387</v>
      </c>
      <c r="C17" s="8"/>
      <c r="D17" s="6" t="s">
        <v>10</v>
      </c>
      <c r="E17" s="26">
        <f>SUM(E3:E16)</f>
        <v>2029.1440000000002</v>
      </c>
      <c r="F17" s="27">
        <f>SUM(F3:F16)</f>
        <v>732.95999999999992</v>
      </c>
      <c r="G17" s="27">
        <f>E17+F17</f>
        <v>2762.1040000000003</v>
      </c>
      <c r="H17" s="26">
        <f>SUM(H3:H16)</f>
        <v>2289.1040000000003</v>
      </c>
      <c r="I17" s="27">
        <f>SUM(I3:I16)</f>
        <v>473</v>
      </c>
      <c r="J17" s="28">
        <f>SUM(J3:J16)</f>
        <v>99.999999999999986</v>
      </c>
      <c r="K17" s="29">
        <f>SUM(K3:K16)</f>
        <v>85.83953488372093</v>
      </c>
      <c r="L17" s="6"/>
      <c r="M17" s="30">
        <f>+O2/I17*100</f>
        <v>86.109090909090909</v>
      </c>
      <c r="N17" s="60">
        <f>+K17</f>
        <v>85.83953488372093</v>
      </c>
      <c r="O17" s="27">
        <f>+M17-N17</f>
        <v>0.26955602536997958</v>
      </c>
      <c r="P17" s="36">
        <f>1036+27</f>
        <v>1063</v>
      </c>
      <c r="Q17" s="6">
        <f>SUM(Q3:Q16)</f>
        <v>100</v>
      </c>
      <c r="R17" s="29">
        <f t="shared" si="3"/>
        <v>0</v>
      </c>
      <c r="S17" s="31">
        <v>8</v>
      </c>
      <c r="T17" s="32" t="s">
        <v>70</v>
      </c>
      <c r="U17" s="61">
        <f>(U14*U16)/(U12-U11)</f>
        <v>17.257937825428577</v>
      </c>
      <c r="V17" s="38" t="s">
        <v>71</v>
      </c>
      <c r="W17" s="50">
        <v>34</v>
      </c>
      <c r="X17"/>
      <c r="Y17" s="50">
        <v>34</v>
      </c>
      <c r="Z17"/>
      <c r="AA17" s="50">
        <v>34</v>
      </c>
      <c r="AB17" s="18"/>
      <c r="AC17" s="18"/>
      <c r="AD17" s="18"/>
      <c r="AE17" s="18"/>
      <c r="AF17" s="18"/>
      <c r="AG17" s="18"/>
    </row>
    <row r="18" spans="1:33" ht="14.4" x14ac:dyDescent="0.3">
      <c r="A18" s="62"/>
      <c r="B18" s="63">
        <f>+H17-B17</f>
        <v>-97.895999999999731</v>
      </c>
      <c r="C18" s="8"/>
      <c r="D18" s="6"/>
      <c r="E18" s="26"/>
      <c r="F18" s="27"/>
      <c r="G18" s="27"/>
      <c r="H18" s="26"/>
      <c r="I18" s="27"/>
      <c r="J18" s="28" t="s">
        <v>72</v>
      </c>
      <c r="K18" s="64">
        <f>P2/M3</f>
        <v>1.5075031426775612E-2</v>
      </c>
      <c r="L18" s="6"/>
      <c r="M18" s="30"/>
      <c r="N18" s="60"/>
      <c r="O18" s="27"/>
      <c r="P18" s="36">
        <f>+P17-P19</f>
        <v>154.41099999999994</v>
      </c>
      <c r="Q18" s="6"/>
      <c r="R18" s="29"/>
      <c r="S18" s="31"/>
      <c r="T18" s="32"/>
      <c r="U18" s="61"/>
      <c r="V18" s="38"/>
      <c r="W18" s="50"/>
      <c r="X18"/>
      <c r="Y18" s="50"/>
      <c r="Z18"/>
      <c r="AA18" s="50"/>
      <c r="AB18" s="18"/>
      <c r="AC18" s="18"/>
      <c r="AD18" s="18"/>
      <c r="AE18" s="18"/>
      <c r="AF18" s="18"/>
      <c r="AG18" s="18"/>
    </row>
    <row r="19" spans="1:33" ht="23.4" x14ac:dyDescent="0.45">
      <c r="A19" s="6">
        <f>B3+B4+B5+B13</f>
        <v>1014</v>
      </c>
      <c r="B19" s="6">
        <f>B12+B14+B16</f>
        <v>919</v>
      </c>
      <c r="C19" s="8"/>
      <c r="D19" s="6" t="s">
        <v>73</v>
      </c>
      <c r="E19" s="27">
        <v>0</v>
      </c>
      <c r="F19" s="27">
        <v>0</v>
      </c>
      <c r="G19" s="27">
        <f>+E19+F19</f>
        <v>0</v>
      </c>
      <c r="H19" s="27">
        <f>G19-I19</f>
        <v>0</v>
      </c>
      <c r="I19" s="27">
        <f>F19</f>
        <v>0</v>
      </c>
      <c r="J19" s="65"/>
      <c r="K19" s="29"/>
      <c r="L19" s="6" t="s">
        <v>74</v>
      </c>
      <c r="M19" s="25" t="s">
        <v>75</v>
      </c>
      <c r="N19" s="66">
        <f>H3+H4+H5+H13+H10</f>
        <v>988.23</v>
      </c>
      <c r="O19" s="65" t="s">
        <v>76</v>
      </c>
      <c r="P19" s="67">
        <f>H12+H14+H16</f>
        <v>908.58900000000006</v>
      </c>
      <c r="Q19" s="27">
        <f>+P19+N19</f>
        <v>1896.819</v>
      </c>
      <c r="R19" s="68"/>
      <c r="S19" s="31">
        <v>9</v>
      </c>
      <c r="T19" s="32" t="s">
        <v>71</v>
      </c>
      <c r="U19" s="24">
        <v>34</v>
      </c>
      <c r="V19" s="38" t="s">
        <v>77</v>
      </c>
      <c r="W19" s="69">
        <f>W17*60/W16</f>
        <v>139.94048904968676</v>
      </c>
      <c r="X19"/>
      <c r="Y19" s="69">
        <f>Y17*60/Y16</f>
        <v>130.05072454590606</v>
      </c>
      <c r="Z19"/>
      <c r="AA19" s="69">
        <f>AA17*60/AA16</f>
        <v>119.87480138668207</v>
      </c>
      <c r="AB19" s="18"/>
      <c r="AC19" s="18"/>
      <c r="AD19" s="18"/>
      <c r="AE19" s="18"/>
      <c r="AF19" s="18"/>
      <c r="AG19" s="18"/>
    </row>
    <row r="20" spans="1:33" ht="14.4" x14ac:dyDescent="0.3">
      <c r="A20" s="63">
        <f>A19-N19</f>
        <v>25.769999999999982</v>
      </c>
      <c r="B20" s="70">
        <f>B19-P19</f>
        <v>10.410999999999945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31">
        <v>10</v>
      </c>
      <c r="T20" s="32" t="s">
        <v>77</v>
      </c>
      <c r="U20" s="71">
        <f>U19*60/U17</f>
        <v>118.2064752252252</v>
      </c>
      <c r="V20" s="57" t="s">
        <v>78</v>
      </c>
      <c r="W20" s="72">
        <v>5</v>
      </c>
      <c r="X20"/>
      <c r="Y20" s="72">
        <v>12</v>
      </c>
      <c r="Z20"/>
      <c r="AA20" s="72">
        <v>15</v>
      </c>
      <c r="AB20" s="18"/>
      <c r="AC20" s="18"/>
      <c r="AD20" s="18"/>
      <c r="AE20" s="18"/>
      <c r="AF20" s="18"/>
      <c r="AG20" s="18"/>
    </row>
    <row r="21" spans="1:33" ht="42" x14ac:dyDescent="0.3">
      <c r="A21" s="73"/>
      <c r="B21" s="74"/>
      <c r="C21" s="74"/>
      <c r="H21" s="2"/>
      <c r="S21" s="8">
        <v>11</v>
      </c>
      <c r="T21" s="32" t="s">
        <v>78</v>
      </c>
      <c r="U21" s="75">
        <v>6</v>
      </c>
      <c r="V21" s="57" t="s">
        <v>79</v>
      </c>
      <c r="W21" s="72">
        <f>W20+W19</f>
        <v>144.94048904968676</v>
      </c>
      <c r="X21"/>
      <c r="Y21" s="72">
        <f>Y20+Y19</f>
        <v>142.05072454590606</v>
      </c>
      <c r="Z21"/>
      <c r="AA21" s="72">
        <f>AA20+AA19</f>
        <v>134.87480138668207</v>
      </c>
      <c r="AB21" s="18"/>
      <c r="AC21" s="18"/>
      <c r="AD21" s="18"/>
      <c r="AE21" s="18"/>
      <c r="AF21" s="18"/>
      <c r="AG21" s="18"/>
    </row>
    <row r="22" spans="1:33" s="82" customFormat="1" ht="14.4" x14ac:dyDescent="0.3">
      <c r="A22" s="76"/>
      <c r="B22" s="77">
        <f>A12+A16</f>
        <v>-10.209000000000088</v>
      </c>
      <c r="C22" s="78"/>
      <c r="D22" s="2"/>
      <c r="E22" s="79">
        <f>H12+H14+H16</f>
        <v>908.58900000000006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6">
        <v>12</v>
      </c>
      <c r="T22" s="32" t="s">
        <v>79</v>
      </c>
      <c r="U22" s="71">
        <f>U21+U20</f>
        <v>124.2064752252252</v>
      </c>
      <c r="V22" s="38" t="s">
        <v>80</v>
      </c>
      <c r="W22" s="80">
        <f>24*60/W21</f>
        <v>9.9351120548955549</v>
      </c>
      <c r="X22"/>
      <c r="Y22" s="80">
        <f>24*60/Y21</f>
        <v>10.137223900851277</v>
      </c>
      <c r="Z22"/>
      <c r="AA22" s="80">
        <f>24*60/AA21</f>
        <v>10.676568085327983</v>
      </c>
      <c r="AB22" s="81"/>
      <c r="AC22" s="81"/>
      <c r="AD22" s="81"/>
      <c r="AE22" s="81"/>
      <c r="AF22" s="81"/>
      <c r="AG22" s="81"/>
    </row>
    <row r="23" spans="1:33" ht="14.4" x14ac:dyDescent="0.3">
      <c r="A23" s="83"/>
      <c r="B23" s="84"/>
      <c r="C23" s="84"/>
      <c r="E23" s="2">
        <f>B12+B14+B16</f>
        <v>919</v>
      </c>
      <c r="H23" s="2"/>
      <c r="S23" s="6">
        <v>13</v>
      </c>
      <c r="T23" s="32" t="s">
        <v>80</v>
      </c>
      <c r="U23" s="85">
        <f>24*60/U22</f>
        <v>11.593598460859866</v>
      </c>
      <c r="V23" s="57" t="s">
        <v>81</v>
      </c>
      <c r="W23" s="86">
        <f>W22*W17</f>
        <v>337.7938098664489</v>
      </c>
      <c r="X23"/>
      <c r="Y23" s="86">
        <f>Y22*Y17</f>
        <v>344.66561262894339</v>
      </c>
      <c r="Z23"/>
      <c r="AA23" s="86">
        <f>AA22*AA17</f>
        <v>363.00331490115138</v>
      </c>
      <c r="AB23" s="18"/>
      <c r="AC23" s="18"/>
      <c r="AD23" s="18"/>
      <c r="AE23" s="18"/>
      <c r="AF23" s="18"/>
      <c r="AG23" s="18"/>
    </row>
    <row r="24" spans="1:33" ht="15" thickBot="1" x14ac:dyDescent="0.35">
      <c r="A24" s="73"/>
      <c r="B24" s="74"/>
      <c r="C24" s="87"/>
      <c r="E24" s="79">
        <f>E23-E22</f>
        <v>10.410999999999945</v>
      </c>
      <c r="H24" s="2"/>
      <c r="S24" s="6">
        <v>14</v>
      </c>
      <c r="T24" s="88" t="s">
        <v>81</v>
      </c>
      <c r="U24" s="89">
        <f>U23*U19</f>
        <v>394.18234766923547</v>
      </c>
      <c r="V24" s="57" t="s">
        <v>82</v>
      </c>
      <c r="W24" s="3">
        <v>65</v>
      </c>
      <c r="X24"/>
      <c r="Y24" s="90">
        <f>+W23*W24/Y23</f>
        <v>63.704056444287609</v>
      </c>
      <c r="Z24" s="91"/>
      <c r="AA24" s="90">
        <f>+Y23*Y24/AA23</f>
        <v>60.485942524514222</v>
      </c>
      <c r="AB24" s="18"/>
      <c r="AC24" s="18"/>
      <c r="AD24" s="18"/>
      <c r="AE24" s="18"/>
      <c r="AF24" s="18"/>
      <c r="AG24" s="18"/>
    </row>
    <row r="25" spans="1:33" ht="13.8" x14ac:dyDescent="0.3">
      <c r="A25" s="83"/>
      <c r="B25" s="92"/>
      <c r="C25" s="87"/>
      <c r="H25" s="2"/>
      <c r="S25" s="18"/>
      <c r="T25" s="93"/>
      <c r="U25" s="94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1:33" ht="13.8" x14ac:dyDescent="0.3">
      <c r="A26" s="83"/>
      <c r="B26" s="95"/>
      <c r="C26" s="87"/>
      <c r="H26" s="2"/>
      <c r="S26" s="18"/>
      <c r="T26" s="81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 x14ac:dyDescent="0.2">
      <c r="C27" s="81"/>
      <c r="S27" s="18"/>
      <c r="T27" s="81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 x14ac:dyDescent="0.2">
      <c r="C28" s="81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</sheetData>
  <mergeCells count="3">
    <mergeCell ref="A1:N1"/>
    <mergeCell ref="T1:U1"/>
    <mergeCell ref="C20:R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2B1B-8FA8-4134-BF7F-A538182AAE49}">
  <dimension ref="A1:AG28"/>
  <sheetViews>
    <sheetView zoomScale="174" zoomScaleNormal="174" workbookViewId="0">
      <selection activeCell="E13" sqref="E13"/>
    </sheetView>
  </sheetViews>
  <sheetFormatPr defaultColWidth="9.109375" defaultRowHeight="10.199999999999999" x14ac:dyDescent="0.2"/>
  <cols>
    <col min="1" max="1" width="14.109375" style="2" bestFit="1" customWidth="1"/>
    <col min="2" max="2" width="7.88671875" style="2" bestFit="1" customWidth="1"/>
    <col min="3" max="3" width="8.44140625" style="82" bestFit="1" customWidth="1"/>
    <col min="4" max="4" width="17.5546875" style="2" bestFit="1" customWidth="1"/>
    <col min="5" max="5" width="10.88671875" style="2" bestFit="1" customWidth="1"/>
    <col min="6" max="6" width="7.33203125" style="2" bestFit="1" customWidth="1"/>
    <col min="7" max="7" width="9.109375" style="2"/>
    <col min="8" max="8" width="10" style="82" customWidth="1"/>
    <col min="9" max="9" width="9.5546875" style="2" bestFit="1" customWidth="1"/>
    <col min="10" max="10" width="10.44140625" style="2" bestFit="1" customWidth="1"/>
    <col min="11" max="11" width="12" style="2" customWidth="1"/>
    <col min="12" max="12" width="10.109375" style="2" bestFit="1" customWidth="1"/>
    <col min="13" max="13" width="10.5546875" style="2" bestFit="1" customWidth="1"/>
    <col min="14" max="14" width="15" style="2" customWidth="1"/>
    <col min="15" max="15" width="12.109375" style="2" customWidth="1"/>
    <col min="16" max="16" width="15.33203125" style="2" customWidth="1"/>
    <col min="17" max="17" width="7.44140625" style="2" bestFit="1" customWidth="1"/>
    <col min="18" max="18" width="7.6640625" style="2" customWidth="1"/>
    <col min="19" max="19" width="5.33203125" style="2" bestFit="1" customWidth="1"/>
    <col min="20" max="20" width="27.5546875" style="82" customWidth="1"/>
    <col min="21" max="21" width="11.44140625" style="2" bestFit="1" customWidth="1"/>
    <col min="22" max="22" width="30.88671875" style="2" customWidth="1"/>
    <col min="23" max="23" width="11.44140625" style="2" bestFit="1" customWidth="1"/>
    <col min="24" max="24" width="6.109375" style="2" bestFit="1" customWidth="1"/>
    <col min="25" max="25" width="11.44140625" style="2" bestFit="1" customWidth="1"/>
    <col min="26" max="26" width="5.44140625" style="2" bestFit="1" customWidth="1"/>
    <col min="27" max="27" width="11.44140625" style="2" bestFit="1" customWidth="1"/>
    <col min="28" max="28" width="6.6640625" style="2" bestFit="1" customWidth="1"/>
    <col min="29" max="29" width="5.5546875" style="2" bestFit="1" customWidth="1"/>
    <col min="30" max="30" width="7" style="2" bestFit="1" customWidth="1"/>
    <col min="31" max="31" width="4.44140625" style="2" bestFit="1" customWidth="1"/>
    <col min="32" max="16384" width="9.109375" style="2"/>
  </cols>
  <sheetData>
    <row r="1" spans="1:33" ht="15" thickBot="1" x14ac:dyDescent="0.35">
      <c r="A1" s="96" t="s">
        <v>93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1" t="s">
        <v>0</v>
      </c>
      <c r="P1" s="1" t="s">
        <v>1</v>
      </c>
      <c r="Q1" s="1"/>
      <c r="R1" s="1"/>
      <c r="T1" s="97" t="s">
        <v>2</v>
      </c>
      <c r="U1" s="98"/>
      <c r="V1" s="3" t="s">
        <v>3</v>
      </c>
      <c r="W1" s="4">
        <v>0.5</v>
      </c>
      <c r="X1"/>
      <c r="Y1" s="5">
        <v>0.4</v>
      </c>
      <c r="Z1"/>
      <c r="AA1" s="5">
        <v>0.3</v>
      </c>
    </row>
    <row r="2" spans="1:33" ht="14.4" x14ac:dyDescent="0.3">
      <c r="A2" s="6" t="s">
        <v>4</v>
      </c>
      <c r="B2" s="7" t="s">
        <v>5</v>
      </c>
      <c r="C2" s="8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8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9" t="s">
        <v>17</v>
      </c>
      <c r="O2" s="10">
        <v>406.17500000000001</v>
      </c>
      <c r="P2" s="11">
        <v>5.52</v>
      </c>
      <c r="Q2" s="6" t="s">
        <v>18</v>
      </c>
      <c r="R2" s="6" t="s">
        <v>19</v>
      </c>
      <c r="S2" s="12" t="s">
        <v>20</v>
      </c>
      <c r="T2" s="13" t="s">
        <v>21</v>
      </c>
      <c r="U2" s="14" t="s">
        <v>22</v>
      </c>
      <c r="V2" s="15" t="s">
        <v>21</v>
      </c>
      <c r="W2" s="16" t="s">
        <v>22</v>
      </c>
      <c r="X2"/>
      <c r="Y2" s="17" t="s">
        <v>22</v>
      </c>
      <c r="Z2"/>
      <c r="AA2" s="17" t="s">
        <v>22</v>
      </c>
      <c r="AB2" s="18"/>
      <c r="AC2" s="18"/>
      <c r="AD2" s="19"/>
      <c r="AE2" s="20"/>
      <c r="AF2" s="21"/>
      <c r="AG2" s="22"/>
    </row>
    <row r="3" spans="1:33" ht="14.4" x14ac:dyDescent="0.3">
      <c r="A3" s="23">
        <f>+B3-H3</f>
        <v>7.4199999999999591</v>
      </c>
      <c r="B3" s="24">
        <v>497</v>
      </c>
      <c r="C3" s="25">
        <v>1</v>
      </c>
      <c r="D3" s="6" t="s">
        <v>23</v>
      </c>
      <c r="E3" s="26">
        <v>478.41</v>
      </c>
      <c r="F3" s="26">
        <v>78.17</v>
      </c>
      <c r="G3" s="27">
        <f>E3+F3</f>
        <v>556.58000000000004</v>
      </c>
      <c r="H3" s="26">
        <f>G3-I3</f>
        <v>489.58000000000004</v>
      </c>
      <c r="I3" s="27">
        <v>67</v>
      </c>
      <c r="J3" s="28">
        <f>I3/I17*100</f>
        <v>14.194915254237289</v>
      </c>
      <c r="K3" s="29">
        <f>+J3*L3%</f>
        <v>11.363029661016949</v>
      </c>
      <c r="L3" s="30">
        <v>80.05</v>
      </c>
      <c r="M3" s="27">
        <f>O2</f>
        <v>406.17500000000001</v>
      </c>
      <c r="N3" s="28">
        <f>U24</f>
        <v>393.77738628184869</v>
      </c>
      <c r="O3" s="30" t="s">
        <v>24</v>
      </c>
      <c r="P3" s="27" t="s">
        <v>25</v>
      </c>
      <c r="Q3" s="6">
        <v>16</v>
      </c>
      <c r="R3" s="29">
        <f>Q3-J3</f>
        <v>1.8050847457627111</v>
      </c>
      <c r="S3" s="31"/>
      <c r="T3" s="32" t="s">
        <v>26</v>
      </c>
      <c r="U3" s="24">
        <v>30</v>
      </c>
      <c r="V3" s="33" t="s">
        <v>26</v>
      </c>
      <c r="W3" s="34">
        <v>30</v>
      </c>
      <c r="X3"/>
      <c r="Y3" s="34">
        <v>30</v>
      </c>
      <c r="Z3"/>
      <c r="AA3" s="34">
        <v>30</v>
      </c>
      <c r="AB3" s="18"/>
      <c r="AC3" s="18"/>
      <c r="AD3" s="18"/>
      <c r="AE3" s="35"/>
      <c r="AF3" s="18"/>
      <c r="AG3" s="18"/>
    </row>
    <row r="4" spans="1:33" ht="14.4" x14ac:dyDescent="0.3">
      <c r="A4" s="23">
        <f t="shared" ref="A4:A15" si="0">+B4-H4</f>
        <v>-0.98000000000001819</v>
      </c>
      <c r="B4" s="24">
        <v>277</v>
      </c>
      <c r="C4" s="25">
        <v>2</v>
      </c>
      <c r="D4" s="6" t="s">
        <v>27</v>
      </c>
      <c r="E4" s="26">
        <v>332.98</v>
      </c>
      <c r="F4" s="26">
        <v>0</v>
      </c>
      <c r="G4" s="27">
        <f>E4+F4</f>
        <v>332.98</v>
      </c>
      <c r="H4" s="26">
        <f t="shared" ref="H4:H16" si="1">G4-I4</f>
        <v>277.98</v>
      </c>
      <c r="I4" s="27">
        <v>55</v>
      </c>
      <c r="J4" s="28">
        <f>I4/I17*100</f>
        <v>11.652542372881355</v>
      </c>
      <c r="K4" s="29">
        <f t="shared" ref="K4:K13" si="2">+J4*L4%</f>
        <v>8.8454449152542356</v>
      </c>
      <c r="L4" s="30">
        <v>75.91</v>
      </c>
      <c r="M4" s="6" t="s">
        <v>28</v>
      </c>
      <c r="N4" s="6" t="s">
        <v>29</v>
      </c>
      <c r="O4" s="36">
        <v>265637</v>
      </c>
      <c r="P4" s="36">
        <v>23560</v>
      </c>
      <c r="Q4" s="6">
        <v>13</v>
      </c>
      <c r="R4" s="29">
        <f t="shared" ref="R4:R17" si="3">Q4-J4</f>
        <v>1.3474576271186454</v>
      </c>
      <c r="S4" s="31">
        <v>1</v>
      </c>
      <c r="T4" s="32" t="s">
        <v>30</v>
      </c>
      <c r="U4" s="37">
        <f>M17</f>
        <v>86.054025423728817</v>
      </c>
      <c r="V4" s="38" t="s">
        <v>30</v>
      </c>
      <c r="W4" s="39">
        <v>86.44</v>
      </c>
      <c r="X4"/>
      <c r="Y4" s="39">
        <f>U4</f>
        <v>86.054025423728817</v>
      </c>
      <c r="Z4"/>
      <c r="AA4" s="39">
        <v>84.28</v>
      </c>
      <c r="AB4" s="18"/>
      <c r="AC4" s="18"/>
      <c r="AD4" s="18"/>
      <c r="AE4" s="18"/>
      <c r="AF4" s="18"/>
      <c r="AG4" s="18"/>
    </row>
    <row r="5" spans="1:33" ht="14.4" x14ac:dyDescent="0.3">
      <c r="A5" s="23">
        <f t="shared" si="0"/>
        <v>2.8899999999999864</v>
      </c>
      <c r="B5" s="24">
        <v>170</v>
      </c>
      <c r="C5" s="25">
        <v>3</v>
      </c>
      <c r="D5" s="6" t="s">
        <v>31</v>
      </c>
      <c r="E5" s="26">
        <v>140.99</v>
      </c>
      <c r="F5" s="26">
        <v>124.12</v>
      </c>
      <c r="G5" s="27">
        <f>E5+F5</f>
        <v>265.11</v>
      </c>
      <c r="H5" s="26">
        <f t="shared" si="1"/>
        <v>167.11</v>
      </c>
      <c r="I5" s="27">
        <v>98</v>
      </c>
      <c r="J5" s="28">
        <f>I5/I17*100</f>
        <v>20.762711864406779</v>
      </c>
      <c r="K5" s="29">
        <f t="shared" si="2"/>
        <v>16.402542372881356</v>
      </c>
      <c r="L5" s="30">
        <v>79</v>
      </c>
      <c r="M5" s="36">
        <f>O4/O2</f>
        <v>653.99643011017417</v>
      </c>
      <c r="N5" s="36">
        <f>+U12</f>
        <v>658.89048043289336</v>
      </c>
      <c r="O5" s="36">
        <f>+N5-M5</f>
        <v>4.8940503227191812</v>
      </c>
      <c r="P5" s="36">
        <f>+P4/O2</f>
        <v>58.004554687019137</v>
      </c>
      <c r="Q5" s="6">
        <v>18</v>
      </c>
      <c r="R5" s="29">
        <f t="shared" si="3"/>
        <v>-2.7627118644067785</v>
      </c>
      <c r="S5" s="31"/>
      <c r="T5" s="32" t="s">
        <v>32</v>
      </c>
      <c r="U5" s="40" t="s">
        <v>33</v>
      </c>
      <c r="V5" s="38" t="s">
        <v>32</v>
      </c>
      <c r="W5" s="41" t="s">
        <v>33</v>
      </c>
      <c r="X5"/>
      <c r="Y5" s="41" t="s">
        <v>33</v>
      </c>
      <c r="Z5"/>
      <c r="AA5" s="41" t="s">
        <v>33</v>
      </c>
      <c r="AB5" s="18"/>
      <c r="AC5" s="18"/>
      <c r="AD5" s="42"/>
      <c r="AE5" s="18"/>
      <c r="AF5" s="18"/>
      <c r="AG5" s="18"/>
    </row>
    <row r="6" spans="1:33" ht="14.4" x14ac:dyDescent="0.3">
      <c r="A6" s="23">
        <f t="shared" si="0"/>
        <v>36.449999999999989</v>
      </c>
      <c r="B6" s="24">
        <v>351</v>
      </c>
      <c r="C6" s="25">
        <v>4</v>
      </c>
      <c r="D6" s="6" t="s">
        <v>34</v>
      </c>
      <c r="E6" s="26">
        <v>314.55</v>
      </c>
      <c r="F6" s="26">
        <v>0</v>
      </c>
      <c r="G6" s="27">
        <f t="shared" ref="G6:G16" si="4">E6+F6</f>
        <v>314.55</v>
      </c>
      <c r="H6" s="26">
        <f>G6-I6</f>
        <v>314.55</v>
      </c>
      <c r="I6" s="27">
        <v>0</v>
      </c>
      <c r="J6" s="28">
        <f>I6/I17*100</f>
        <v>0</v>
      </c>
      <c r="K6" s="29">
        <f t="shared" si="2"/>
        <v>0</v>
      </c>
      <c r="L6" s="6">
        <v>94</v>
      </c>
      <c r="M6" s="6" t="s">
        <v>35</v>
      </c>
      <c r="N6" s="6"/>
      <c r="O6" s="6" t="s">
        <v>36</v>
      </c>
      <c r="P6" s="6">
        <v>3580</v>
      </c>
      <c r="Q6" s="6">
        <v>0</v>
      </c>
      <c r="R6" s="29">
        <f t="shared" si="3"/>
        <v>0</v>
      </c>
      <c r="S6" s="31"/>
      <c r="T6" s="32" t="s">
        <v>37</v>
      </c>
      <c r="U6" s="40" t="s">
        <v>38</v>
      </c>
      <c r="V6" s="38" t="s">
        <v>37</v>
      </c>
      <c r="W6" s="41" t="s">
        <v>39</v>
      </c>
      <c r="X6"/>
      <c r="Y6" s="41" t="s">
        <v>39</v>
      </c>
      <c r="Z6"/>
      <c r="AA6" s="41" t="s">
        <v>39</v>
      </c>
      <c r="AB6" s="43"/>
      <c r="AC6" s="44"/>
      <c r="AD6" s="44"/>
      <c r="AE6" s="44"/>
      <c r="AF6" s="18"/>
      <c r="AG6" s="18"/>
    </row>
    <row r="7" spans="1:33" ht="14.4" x14ac:dyDescent="0.3">
      <c r="A7" s="23">
        <v>0</v>
      </c>
      <c r="B7" s="24">
        <v>0</v>
      </c>
      <c r="C7" s="25">
        <v>5</v>
      </c>
      <c r="D7" s="6" t="s">
        <v>40</v>
      </c>
      <c r="E7" s="26">
        <v>0</v>
      </c>
      <c r="F7" s="26">
        <v>0</v>
      </c>
      <c r="G7" s="27">
        <f t="shared" si="4"/>
        <v>0</v>
      </c>
      <c r="H7" s="26">
        <f t="shared" si="1"/>
        <v>0</v>
      </c>
      <c r="I7" s="27">
        <v>0</v>
      </c>
      <c r="J7" s="28">
        <f>I7/I17*100</f>
        <v>0</v>
      </c>
      <c r="K7" s="29">
        <f t="shared" si="2"/>
        <v>0</v>
      </c>
      <c r="L7" s="6">
        <v>88</v>
      </c>
      <c r="M7" s="36">
        <f>+P5+P8</f>
        <v>66.818489567304724</v>
      </c>
      <c r="N7" s="36">
        <v>67</v>
      </c>
      <c r="O7" s="36">
        <f>+N7-M7</f>
        <v>0.18151043269527634</v>
      </c>
      <c r="P7" s="36"/>
      <c r="Q7" s="6">
        <v>0</v>
      </c>
      <c r="R7" s="29">
        <f t="shared" si="3"/>
        <v>0</v>
      </c>
      <c r="S7" s="31">
        <v>2</v>
      </c>
      <c r="T7" s="32" t="s">
        <v>41</v>
      </c>
      <c r="U7" s="40">
        <v>455</v>
      </c>
      <c r="V7" s="38" t="s">
        <v>41</v>
      </c>
      <c r="W7" s="41">
        <v>465</v>
      </c>
      <c r="X7"/>
      <c r="Y7" s="41">
        <v>455</v>
      </c>
      <c r="Z7"/>
      <c r="AA7" s="41">
        <v>455</v>
      </c>
      <c r="AB7" s="18"/>
      <c r="AC7" s="18"/>
      <c r="AD7" s="42"/>
      <c r="AE7" s="18"/>
      <c r="AF7" s="18"/>
      <c r="AG7" s="18"/>
    </row>
    <row r="8" spans="1:33" ht="14.4" x14ac:dyDescent="0.3">
      <c r="A8" s="23">
        <f t="shared" si="0"/>
        <v>20.465000000000003</v>
      </c>
      <c r="B8" s="24">
        <v>100</v>
      </c>
      <c r="C8" s="25">
        <v>6</v>
      </c>
      <c r="D8" s="6" t="s">
        <v>42</v>
      </c>
      <c r="E8" s="26">
        <v>77.734999999999999</v>
      </c>
      <c r="F8" s="26">
        <v>1.8</v>
      </c>
      <c r="G8" s="27">
        <f t="shared" si="4"/>
        <v>79.534999999999997</v>
      </c>
      <c r="H8" s="26">
        <f t="shared" si="1"/>
        <v>79.534999999999997</v>
      </c>
      <c r="I8" s="27">
        <v>0</v>
      </c>
      <c r="J8" s="28">
        <f>I8/I17*100</f>
        <v>0</v>
      </c>
      <c r="K8" s="29">
        <f t="shared" si="2"/>
        <v>0</v>
      </c>
      <c r="L8" s="6">
        <v>90</v>
      </c>
      <c r="M8" s="30" t="s">
        <v>43</v>
      </c>
      <c r="N8" s="30" t="s">
        <v>44</v>
      </c>
      <c r="O8" s="6" t="s">
        <v>45</v>
      </c>
      <c r="P8" s="36">
        <f>+P6/O2</f>
        <v>8.8139348802855917</v>
      </c>
      <c r="Q8" s="6">
        <v>0</v>
      </c>
      <c r="R8" s="29">
        <f t="shared" si="3"/>
        <v>0</v>
      </c>
      <c r="S8" s="31"/>
      <c r="T8" s="32"/>
      <c r="U8" s="40"/>
      <c r="V8" s="38" t="s">
        <v>46</v>
      </c>
      <c r="W8" s="45">
        <f>((W7*(2-W4/100))/(W4/100))</f>
        <v>610.89079130032405</v>
      </c>
      <c r="X8"/>
      <c r="Y8" s="45">
        <f>((Y7*(2-Y4/100))/(Y4/100))</f>
        <v>602.47522619560527</v>
      </c>
      <c r="Z8"/>
      <c r="AA8" s="45">
        <f>((AA7*(2-AA4/100))/(AA4/100))</f>
        <v>624.73421926910294</v>
      </c>
      <c r="AB8" s="18"/>
      <c r="AC8" s="18"/>
      <c r="AD8" s="42"/>
      <c r="AE8" s="18"/>
      <c r="AF8" s="18"/>
      <c r="AG8" s="18"/>
    </row>
    <row r="9" spans="1:33" ht="14.4" x14ac:dyDescent="0.3">
      <c r="A9" s="23">
        <f t="shared" si="0"/>
        <v>0</v>
      </c>
      <c r="B9" s="24">
        <v>0</v>
      </c>
      <c r="C9" s="25">
        <v>7</v>
      </c>
      <c r="D9" s="6" t="s">
        <v>47</v>
      </c>
      <c r="E9" s="26">
        <v>0</v>
      </c>
      <c r="F9" s="26">
        <v>0</v>
      </c>
      <c r="G9" s="46">
        <f t="shared" si="4"/>
        <v>0</v>
      </c>
      <c r="H9" s="26">
        <f t="shared" si="1"/>
        <v>0</v>
      </c>
      <c r="I9" s="27">
        <v>0</v>
      </c>
      <c r="J9" s="28">
        <f>I9/I17*100</f>
        <v>0</v>
      </c>
      <c r="K9" s="29">
        <f t="shared" si="2"/>
        <v>0</v>
      </c>
      <c r="L9" s="6">
        <v>93</v>
      </c>
      <c r="M9" s="36">
        <f>+M5+M7</f>
        <v>720.81491967747888</v>
      </c>
      <c r="N9" s="36">
        <f>+N5+N7</f>
        <v>725.89048043289336</v>
      </c>
      <c r="O9" s="36">
        <f>+N9-M9</f>
        <v>5.0755607554144717</v>
      </c>
      <c r="P9" s="36"/>
      <c r="Q9" s="6">
        <v>0</v>
      </c>
      <c r="R9" s="29">
        <f t="shared" si="3"/>
        <v>0</v>
      </c>
      <c r="S9" s="31" t="s">
        <v>48</v>
      </c>
      <c r="T9" s="32" t="s">
        <v>46</v>
      </c>
      <c r="U9" s="47">
        <f>((U7*(2-U4/100))/(U4/100))</f>
        <v>602.47522619560527</v>
      </c>
      <c r="V9" s="38" t="s">
        <v>49</v>
      </c>
      <c r="W9" s="45">
        <v>24</v>
      </c>
      <c r="X9"/>
      <c r="Y9" s="45">
        <v>24</v>
      </c>
      <c r="Z9"/>
      <c r="AA9" s="45">
        <v>24</v>
      </c>
      <c r="AB9" s="18"/>
      <c r="AC9" s="18"/>
      <c r="AD9" s="42"/>
      <c r="AE9" s="18"/>
      <c r="AF9" s="18"/>
      <c r="AG9" s="18"/>
    </row>
    <row r="10" spans="1:33" ht="14.4" x14ac:dyDescent="0.3">
      <c r="A10" s="23">
        <f t="shared" si="0"/>
        <v>0</v>
      </c>
      <c r="B10" s="24">
        <v>0</v>
      </c>
      <c r="C10" s="25">
        <v>8</v>
      </c>
      <c r="D10" s="6" t="s">
        <v>50</v>
      </c>
      <c r="E10" s="26">
        <v>0</v>
      </c>
      <c r="F10" s="26">
        <v>0</v>
      </c>
      <c r="G10" s="27">
        <f t="shared" si="4"/>
        <v>0</v>
      </c>
      <c r="H10" s="26">
        <f t="shared" si="1"/>
        <v>0</v>
      </c>
      <c r="I10" s="27">
        <v>0</v>
      </c>
      <c r="J10" s="28">
        <f>I10/I17*100</f>
        <v>0</v>
      </c>
      <c r="K10" s="29">
        <f t="shared" si="2"/>
        <v>0</v>
      </c>
      <c r="L10" s="6">
        <v>70</v>
      </c>
      <c r="M10" s="6"/>
      <c r="N10" s="6"/>
      <c r="O10" s="6"/>
      <c r="P10" s="6"/>
      <c r="Q10" s="6">
        <v>0</v>
      </c>
      <c r="R10" s="29">
        <f t="shared" si="3"/>
        <v>0</v>
      </c>
      <c r="S10" s="31" t="s">
        <v>51</v>
      </c>
      <c r="T10" s="32" t="s">
        <v>49</v>
      </c>
      <c r="U10" s="47">
        <v>24</v>
      </c>
      <c r="V10" s="38" t="s">
        <v>52</v>
      </c>
      <c r="W10" s="45">
        <v>20</v>
      </c>
      <c r="X10"/>
      <c r="Y10" s="45">
        <f>U11</f>
        <v>32.415254237288131</v>
      </c>
      <c r="Z10"/>
      <c r="AA10" s="45">
        <v>25</v>
      </c>
      <c r="AB10" s="18"/>
      <c r="AC10" s="18"/>
      <c r="AD10" s="42"/>
      <c r="AE10" s="18"/>
      <c r="AF10" s="18"/>
      <c r="AG10" s="18"/>
    </row>
    <row r="11" spans="1:33" ht="14.4" x14ac:dyDescent="0.3">
      <c r="A11" s="23">
        <f t="shared" si="0"/>
        <v>5</v>
      </c>
      <c r="B11" s="24">
        <v>5</v>
      </c>
      <c r="C11" s="25">
        <v>9</v>
      </c>
      <c r="D11" s="6" t="s">
        <v>53</v>
      </c>
      <c r="E11" s="26">
        <v>0</v>
      </c>
      <c r="F11" s="26">
        <v>0</v>
      </c>
      <c r="G11" s="27">
        <f>E11+F11</f>
        <v>0</v>
      </c>
      <c r="H11" s="26">
        <f t="shared" si="1"/>
        <v>0</v>
      </c>
      <c r="I11" s="27">
        <v>0</v>
      </c>
      <c r="J11" s="28">
        <f>I11/I17*100</f>
        <v>0</v>
      </c>
      <c r="K11" s="29">
        <f t="shared" si="2"/>
        <v>0</v>
      </c>
      <c r="L11" s="6">
        <v>98</v>
      </c>
      <c r="M11" s="6"/>
      <c r="N11" s="6"/>
      <c r="O11" s="6"/>
      <c r="P11" s="6"/>
      <c r="Q11" s="6">
        <v>0</v>
      </c>
      <c r="R11" s="29">
        <f t="shared" si="3"/>
        <v>0</v>
      </c>
      <c r="S11" s="31"/>
      <c r="T11" s="32" t="s">
        <v>54</v>
      </c>
      <c r="U11" s="47">
        <f>J5+J4</f>
        <v>32.415254237288131</v>
      </c>
      <c r="V11" s="38" t="s">
        <v>55</v>
      </c>
      <c r="W11" s="45">
        <f>SUM(W8:W10)</f>
        <v>654.89079130032405</v>
      </c>
      <c r="X11"/>
      <c r="Y11" s="45">
        <f>SUM(Y8:Y10)</f>
        <v>658.89048043289336</v>
      </c>
      <c r="Z11"/>
      <c r="AA11" s="45">
        <f>SUM(AA8:AA10)</f>
        <v>673.73421926910294</v>
      </c>
      <c r="AB11" s="18"/>
      <c r="AC11" s="18"/>
      <c r="AD11" s="42"/>
      <c r="AE11" s="18"/>
      <c r="AF11" s="18"/>
      <c r="AG11" s="18"/>
    </row>
    <row r="12" spans="1:33" ht="14.4" x14ac:dyDescent="0.3">
      <c r="A12" s="48">
        <f>+B12-H12</f>
        <v>2.7609999999999673</v>
      </c>
      <c r="B12" s="24">
        <v>828</v>
      </c>
      <c r="C12" s="25">
        <v>10</v>
      </c>
      <c r="D12" s="6" t="s">
        <v>56</v>
      </c>
      <c r="E12" s="49">
        <v>838.17899999999997</v>
      </c>
      <c r="F12" s="26">
        <v>215.06</v>
      </c>
      <c r="G12" s="27">
        <f>E12+F12</f>
        <v>1053.239</v>
      </c>
      <c r="H12" s="49">
        <f>G12-I12</f>
        <v>825.23900000000003</v>
      </c>
      <c r="I12" s="46">
        <v>228</v>
      </c>
      <c r="J12" s="28">
        <f>I12/I17*100</f>
        <v>48.305084745762713</v>
      </c>
      <c r="K12" s="29">
        <f t="shared" si="2"/>
        <v>44.923728813559322</v>
      </c>
      <c r="L12" s="6">
        <v>93</v>
      </c>
      <c r="M12" s="36"/>
      <c r="N12" s="6"/>
      <c r="O12" s="6"/>
      <c r="P12" s="6"/>
      <c r="Q12" s="6">
        <v>48</v>
      </c>
      <c r="R12" s="29">
        <f t="shared" si="3"/>
        <v>-0.30508474576271283</v>
      </c>
      <c r="S12" s="31" t="s">
        <v>57</v>
      </c>
      <c r="T12" s="32" t="s">
        <v>55</v>
      </c>
      <c r="U12" s="47">
        <f>U9+U10+U11</f>
        <v>658.89048043289336</v>
      </c>
      <c r="V12" s="38" t="s">
        <v>58</v>
      </c>
      <c r="W12" s="50">
        <v>16</v>
      </c>
      <c r="X12"/>
      <c r="Y12" s="50">
        <v>16</v>
      </c>
      <c r="Z12"/>
      <c r="AA12" s="50">
        <v>16</v>
      </c>
      <c r="AB12" s="18"/>
      <c r="AC12" s="18"/>
      <c r="AD12" s="42"/>
      <c r="AE12" s="18"/>
      <c r="AF12" s="18"/>
      <c r="AG12" s="18"/>
    </row>
    <row r="13" spans="1:33" ht="14.4" x14ac:dyDescent="0.3">
      <c r="A13" s="23">
        <f t="shared" si="0"/>
        <v>-0.85000000000000142</v>
      </c>
      <c r="B13" s="24">
        <v>25</v>
      </c>
      <c r="C13" s="25">
        <v>11</v>
      </c>
      <c r="D13" s="6" t="s">
        <v>60</v>
      </c>
      <c r="E13" s="26">
        <v>35.85</v>
      </c>
      <c r="F13" s="26">
        <v>0</v>
      </c>
      <c r="G13" s="27">
        <f>E13+F13</f>
        <v>35.85</v>
      </c>
      <c r="H13" s="26">
        <f>G13-I13</f>
        <v>25.85</v>
      </c>
      <c r="I13" s="27">
        <v>10</v>
      </c>
      <c r="J13" s="28">
        <f>I13/I17*100</f>
        <v>2.1186440677966099</v>
      </c>
      <c r="K13" s="29">
        <f t="shared" si="2"/>
        <v>1.4542372881355929</v>
      </c>
      <c r="L13" s="6">
        <v>68.64</v>
      </c>
      <c r="M13" s="24" t="s">
        <v>61</v>
      </c>
      <c r="N13" s="6">
        <v>12</v>
      </c>
      <c r="O13" s="6" t="s">
        <v>62</v>
      </c>
      <c r="P13" s="53"/>
      <c r="Q13" s="6">
        <v>2</v>
      </c>
      <c r="R13" s="29">
        <f t="shared" si="3"/>
        <v>-0.11864406779660985</v>
      </c>
      <c r="S13" s="31">
        <v>5</v>
      </c>
      <c r="T13" s="32" t="s">
        <v>58</v>
      </c>
      <c r="U13" s="24">
        <v>20</v>
      </c>
      <c r="V13" s="38" t="s">
        <v>63</v>
      </c>
      <c r="W13" s="34">
        <v>10060</v>
      </c>
      <c r="X13"/>
      <c r="Y13" s="34">
        <v>10670</v>
      </c>
      <c r="Z13"/>
      <c r="AA13" s="34">
        <v>12000</v>
      </c>
      <c r="AB13" s="18"/>
      <c r="AC13" s="18"/>
      <c r="AD13" s="42"/>
      <c r="AE13" s="18"/>
      <c r="AF13" s="18"/>
      <c r="AG13" s="18"/>
    </row>
    <row r="14" spans="1:33" ht="14.4" x14ac:dyDescent="0.3">
      <c r="A14" s="23">
        <f t="shared" si="0"/>
        <v>14.409999999999997</v>
      </c>
      <c r="B14" s="24">
        <v>95</v>
      </c>
      <c r="C14" s="25">
        <v>12</v>
      </c>
      <c r="D14" s="6" t="s">
        <v>64</v>
      </c>
      <c r="E14" s="26">
        <v>64.38</v>
      </c>
      <c r="F14" s="26">
        <v>30.21</v>
      </c>
      <c r="G14" s="27">
        <f>E14+F14</f>
        <v>94.59</v>
      </c>
      <c r="H14" s="26">
        <f t="shared" si="1"/>
        <v>80.59</v>
      </c>
      <c r="I14" s="27">
        <v>14</v>
      </c>
      <c r="J14" s="28">
        <f>I14/I17*100</f>
        <v>2.9661016949152543</v>
      </c>
      <c r="K14" s="29">
        <f>+J14*L14%</f>
        <v>2.9067796610169494</v>
      </c>
      <c r="L14" s="6">
        <v>98</v>
      </c>
      <c r="M14" s="6"/>
      <c r="N14" s="6"/>
      <c r="O14" s="6"/>
      <c r="P14" s="30"/>
      <c r="Q14" s="6">
        <v>3</v>
      </c>
      <c r="R14" s="29">
        <f t="shared" si="3"/>
        <v>3.3898305084745672E-2</v>
      </c>
      <c r="S14" s="31">
        <v>6</v>
      </c>
      <c r="T14" s="32" t="s">
        <v>63</v>
      </c>
      <c r="U14" s="24">
        <v>12000</v>
      </c>
      <c r="V14" s="38" t="s">
        <v>65</v>
      </c>
      <c r="W14" s="54">
        <v>0.92</v>
      </c>
      <c r="X14"/>
      <c r="Y14" s="54">
        <v>0.92</v>
      </c>
      <c r="Z14"/>
      <c r="AA14" s="54">
        <v>0.92</v>
      </c>
      <c r="AB14" s="18"/>
      <c r="AC14" s="18"/>
      <c r="AD14" s="42"/>
      <c r="AE14" s="18"/>
      <c r="AF14" s="18"/>
      <c r="AG14" s="18"/>
    </row>
    <row r="15" spans="1:33" ht="14.4" x14ac:dyDescent="0.3">
      <c r="A15" s="23">
        <f t="shared" si="0"/>
        <v>0</v>
      </c>
      <c r="B15" s="24">
        <v>0</v>
      </c>
      <c r="C15" s="25">
        <v>13</v>
      </c>
      <c r="D15" s="6" t="s">
        <v>1</v>
      </c>
      <c r="E15" s="26">
        <v>0</v>
      </c>
      <c r="F15" s="26">
        <v>0</v>
      </c>
      <c r="G15" s="27">
        <f>E15+F15</f>
        <v>0</v>
      </c>
      <c r="H15" s="26">
        <f>G15-I15</f>
        <v>0</v>
      </c>
      <c r="I15" s="27">
        <v>0</v>
      </c>
      <c r="J15" s="28">
        <f>I15/I17*100</f>
        <v>0</v>
      </c>
      <c r="K15" s="29">
        <f>J15*L15</f>
        <v>0</v>
      </c>
      <c r="L15" s="55">
        <v>0.98</v>
      </c>
      <c r="M15" s="6"/>
      <c r="N15" s="6"/>
      <c r="O15" s="6"/>
      <c r="P15" s="30"/>
      <c r="Q15" s="6"/>
      <c r="R15" s="29"/>
      <c r="S15" s="31"/>
      <c r="T15" s="32"/>
      <c r="U15" s="24"/>
      <c r="V15" s="38"/>
      <c r="W15" s="54"/>
      <c r="X15"/>
      <c r="Y15" s="54"/>
      <c r="Z15"/>
      <c r="AA15" s="54"/>
      <c r="AB15" s="18"/>
      <c r="AC15" s="18"/>
      <c r="AD15" s="42"/>
      <c r="AE15" s="18"/>
      <c r="AF15" s="18"/>
      <c r="AG15" s="18"/>
    </row>
    <row r="16" spans="1:33" ht="14.4" x14ac:dyDescent="0.3">
      <c r="A16" s="23">
        <f>+B16-H16</f>
        <v>-6.03</v>
      </c>
      <c r="B16" s="24">
        <v>0</v>
      </c>
      <c r="C16" s="25">
        <v>14</v>
      </c>
      <c r="D16" s="6" t="s">
        <v>66</v>
      </c>
      <c r="E16" s="26">
        <v>6.03</v>
      </c>
      <c r="F16" s="26">
        <v>0</v>
      </c>
      <c r="G16" s="27">
        <f t="shared" si="4"/>
        <v>6.03</v>
      </c>
      <c r="H16" s="26">
        <f t="shared" si="1"/>
        <v>6.03</v>
      </c>
      <c r="I16" s="27">
        <v>0</v>
      </c>
      <c r="J16" s="28">
        <f>I16/I17*100</f>
        <v>0</v>
      </c>
      <c r="K16" s="29">
        <f>+J16*L16%</f>
        <v>0</v>
      </c>
      <c r="L16" s="6">
        <v>94</v>
      </c>
      <c r="M16" s="8" t="s">
        <v>67</v>
      </c>
      <c r="N16" s="6" t="s">
        <v>68</v>
      </c>
      <c r="O16" s="36" t="s">
        <v>69</v>
      </c>
      <c r="P16" s="6"/>
      <c r="Q16" s="6"/>
      <c r="R16" s="29"/>
      <c r="S16" s="31">
        <v>7</v>
      </c>
      <c r="T16" s="32" t="s">
        <v>65</v>
      </c>
      <c r="U16" s="56">
        <v>0.9</v>
      </c>
      <c r="V16" s="57" t="s">
        <v>70</v>
      </c>
      <c r="W16" s="58">
        <f>(W13*W14)/(W11-W10)</f>
        <v>14.577625202350729</v>
      </c>
      <c r="X16"/>
      <c r="Y16" s="58">
        <f>(Y13*Y14)/(Y11-Y10)</f>
        <v>15.669254887558811</v>
      </c>
      <c r="Z16"/>
      <c r="AA16" s="58">
        <f>(AA13*AA14)/(AA11-AA10)</f>
        <v>17.017754994392352</v>
      </c>
      <c r="AB16" s="18"/>
      <c r="AC16" s="18"/>
      <c r="AD16" s="42"/>
      <c r="AE16" s="18"/>
      <c r="AF16" s="18"/>
      <c r="AG16" s="18"/>
    </row>
    <row r="17" spans="1:33" ht="14.4" x14ac:dyDescent="0.3">
      <c r="A17" s="59">
        <f>+B17-H17</f>
        <v>81.535999999999603</v>
      </c>
      <c r="B17" s="6">
        <f>SUM(B3:B14)+B16</f>
        <v>2348</v>
      </c>
      <c r="C17" s="8"/>
      <c r="D17" s="6" t="s">
        <v>10</v>
      </c>
      <c r="E17" s="26">
        <f>SUM(E3:E16)</f>
        <v>2289.1040000000003</v>
      </c>
      <c r="F17" s="27">
        <f>SUM(F3:F16)</f>
        <v>449.36</v>
      </c>
      <c r="G17" s="27">
        <f>E17+F17</f>
        <v>2738.4640000000004</v>
      </c>
      <c r="H17" s="26">
        <f>SUM(H3:H16)</f>
        <v>2266.4640000000004</v>
      </c>
      <c r="I17" s="27">
        <f>SUM(I3:I16)</f>
        <v>472</v>
      </c>
      <c r="J17" s="28">
        <f>SUM(J3:J16)</f>
        <v>100</v>
      </c>
      <c r="K17" s="29">
        <f>SUM(K3:K16)</f>
        <v>85.895762711864407</v>
      </c>
      <c r="L17" s="6"/>
      <c r="M17" s="30">
        <f>+O2/I17*100</f>
        <v>86.054025423728817</v>
      </c>
      <c r="N17" s="60">
        <f>+K17</f>
        <v>85.895762711864407</v>
      </c>
      <c r="O17" s="27">
        <f>+M17-N17</f>
        <v>0.15826271186440977</v>
      </c>
      <c r="P17" s="36">
        <f>1036+27</f>
        <v>1063</v>
      </c>
      <c r="Q17" s="6">
        <f>SUM(Q3:Q16)</f>
        <v>100</v>
      </c>
      <c r="R17" s="29">
        <f t="shared" si="3"/>
        <v>0</v>
      </c>
      <c r="S17" s="31">
        <v>8</v>
      </c>
      <c r="T17" s="32" t="s">
        <v>70</v>
      </c>
      <c r="U17" s="61">
        <f>(U14*U16)/(U12-U11)</f>
        <v>17.239308991650216</v>
      </c>
      <c r="V17" s="38" t="s">
        <v>71</v>
      </c>
      <c r="W17" s="50">
        <v>34</v>
      </c>
      <c r="X17"/>
      <c r="Y17" s="50">
        <v>34</v>
      </c>
      <c r="Z17"/>
      <c r="AA17" s="50">
        <v>34</v>
      </c>
      <c r="AB17" s="18"/>
      <c r="AC17" s="18"/>
      <c r="AD17" s="18"/>
      <c r="AE17" s="18"/>
      <c r="AF17" s="18"/>
      <c r="AG17" s="18"/>
    </row>
    <row r="18" spans="1:33" ht="14.4" x14ac:dyDescent="0.3">
      <c r="A18" s="62"/>
      <c r="B18" s="63">
        <f>+H17-B17</f>
        <v>-81.535999999999603</v>
      </c>
      <c r="C18" s="8"/>
      <c r="D18" s="6"/>
      <c r="E18" s="26"/>
      <c r="F18" s="27"/>
      <c r="G18" s="27"/>
      <c r="H18" s="26"/>
      <c r="I18" s="27"/>
      <c r="J18" s="28" t="s">
        <v>72</v>
      </c>
      <c r="K18" s="64">
        <f>P2/M3</f>
        <v>1.3590201267926386E-2</v>
      </c>
      <c r="L18" s="6"/>
      <c r="M18" s="30"/>
      <c r="N18" s="60"/>
      <c r="O18" s="27"/>
      <c r="P18" s="36">
        <f>+P17-P19</f>
        <v>151.14099999999996</v>
      </c>
      <c r="Q18" s="6"/>
      <c r="R18" s="29"/>
      <c r="S18" s="31"/>
      <c r="T18" s="32"/>
      <c r="U18" s="61"/>
      <c r="V18" s="38"/>
      <c r="W18" s="50"/>
      <c r="X18"/>
      <c r="Y18" s="50"/>
      <c r="Z18"/>
      <c r="AA18" s="50"/>
      <c r="AB18" s="18"/>
      <c r="AC18" s="18"/>
      <c r="AD18" s="18"/>
      <c r="AE18" s="18"/>
      <c r="AF18" s="18"/>
      <c r="AG18" s="18"/>
    </row>
    <row r="19" spans="1:33" ht="23.4" x14ac:dyDescent="0.45">
      <c r="A19" s="6">
        <f>B3+B4+B5+B13</f>
        <v>969</v>
      </c>
      <c r="B19" s="6">
        <f>B12+B14+B16</f>
        <v>923</v>
      </c>
      <c r="C19" s="8"/>
      <c r="D19" s="6" t="s">
        <v>73</v>
      </c>
      <c r="E19" s="27">
        <v>0</v>
      </c>
      <c r="F19" s="27">
        <v>0</v>
      </c>
      <c r="G19" s="27">
        <f>+E19+F19</f>
        <v>0</v>
      </c>
      <c r="H19" s="27">
        <f>G19-I19</f>
        <v>0</v>
      </c>
      <c r="I19" s="27">
        <f>F19</f>
        <v>0</v>
      </c>
      <c r="J19" s="65"/>
      <c r="K19" s="29"/>
      <c r="L19" s="6" t="s">
        <v>74</v>
      </c>
      <c r="M19" s="25" t="s">
        <v>75</v>
      </c>
      <c r="N19" s="66">
        <f>H3+H4+H5+H13+H10</f>
        <v>960.5200000000001</v>
      </c>
      <c r="O19" s="65" t="s">
        <v>76</v>
      </c>
      <c r="P19" s="67">
        <f>H12+H14+H16</f>
        <v>911.85900000000004</v>
      </c>
      <c r="Q19" s="27">
        <f>+P19+N19</f>
        <v>1872.3790000000001</v>
      </c>
      <c r="R19" s="68"/>
      <c r="S19" s="31">
        <v>9</v>
      </c>
      <c r="T19" s="32" t="s">
        <v>71</v>
      </c>
      <c r="U19" s="24">
        <v>34</v>
      </c>
      <c r="V19" s="38" t="s">
        <v>77</v>
      </c>
      <c r="W19" s="69">
        <f>W17*60/W16</f>
        <v>139.94048904968676</v>
      </c>
      <c r="X19"/>
      <c r="Y19" s="69">
        <f>Y17*60/Y16</f>
        <v>130.19125763406493</v>
      </c>
      <c r="Z19"/>
      <c r="AA19" s="69">
        <f>AA17*60/AA16</f>
        <v>119.87480138668207</v>
      </c>
      <c r="AB19" s="18"/>
      <c r="AC19" s="18"/>
      <c r="AD19" s="18"/>
      <c r="AE19" s="18"/>
      <c r="AF19" s="18"/>
      <c r="AG19" s="18"/>
    </row>
    <row r="20" spans="1:33" ht="14.4" x14ac:dyDescent="0.3">
      <c r="A20" s="63">
        <f>A19-N19</f>
        <v>8.4799999999999045</v>
      </c>
      <c r="B20" s="70">
        <f>B19-P19</f>
        <v>11.140999999999963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31">
        <v>10</v>
      </c>
      <c r="T20" s="32" t="s">
        <v>77</v>
      </c>
      <c r="U20" s="71">
        <f>U19*60/U17</f>
        <v>118.33420939250321</v>
      </c>
      <c r="V20" s="57" t="s">
        <v>78</v>
      </c>
      <c r="W20" s="72">
        <v>5</v>
      </c>
      <c r="X20"/>
      <c r="Y20" s="72">
        <v>12</v>
      </c>
      <c r="Z20"/>
      <c r="AA20" s="72">
        <v>15</v>
      </c>
      <c r="AB20" s="18"/>
      <c r="AC20" s="18"/>
      <c r="AD20" s="18"/>
      <c r="AE20" s="18"/>
      <c r="AF20" s="18"/>
      <c r="AG20" s="18"/>
    </row>
    <row r="21" spans="1:33" ht="42" x14ac:dyDescent="0.3">
      <c r="A21" s="73"/>
      <c r="B21" s="74"/>
      <c r="C21" s="74"/>
      <c r="H21" s="2"/>
      <c r="S21" s="8">
        <v>11</v>
      </c>
      <c r="T21" s="32" t="s">
        <v>78</v>
      </c>
      <c r="U21" s="75">
        <v>6</v>
      </c>
      <c r="V21" s="57" t="s">
        <v>79</v>
      </c>
      <c r="W21" s="72">
        <f>W20+W19</f>
        <v>144.94048904968676</v>
      </c>
      <c r="X21"/>
      <c r="Y21" s="72">
        <f>Y20+Y19</f>
        <v>142.19125763406493</v>
      </c>
      <c r="Z21"/>
      <c r="AA21" s="72">
        <f>AA20+AA19</f>
        <v>134.87480138668207</v>
      </c>
      <c r="AB21" s="18"/>
      <c r="AC21" s="18"/>
      <c r="AD21" s="18"/>
      <c r="AE21" s="18"/>
      <c r="AF21" s="18"/>
      <c r="AG21" s="18"/>
    </row>
    <row r="22" spans="1:33" s="82" customFormat="1" ht="14.4" x14ac:dyDescent="0.3">
      <c r="A22" s="76"/>
      <c r="B22" s="77">
        <f>A12+A16</f>
        <v>-3.269000000000033</v>
      </c>
      <c r="C22" s="78"/>
      <c r="D22" s="2"/>
      <c r="E22" s="79">
        <f>H12+H14+H16</f>
        <v>911.85900000000004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6">
        <v>12</v>
      </c>
      <c r="T22" s="32" t="s">
        <v>79</v>
      </c>
      <c r="U22" s="71">
        <f>U21+U20</f>
        <v>124.33420939250321</v>
      </c>
      <c r="V22" s="38" t="s">
        <v>80</v>
      </c>
      <c r="W22" s="80">
        <f>24*60/W21</f>
        <v>9.9351120548955549</v>
      </c>
      <c r="X22"/>
      <c r="Y22" s="80">
        <f>24*60/Y21</f>
        <v>10.127204892623563</v>
      </c>
      <c r="Z22"/>
      <c r="AA22" s="80">
        <f>24*60/AA21</f>
        <v>10.676568085327983</v>
      </c>
      <c r="AB22" s="81"/>
      <c r="AC22" s="81"/>
      <c r="AD22" s="81"/>
      <c r="AE22" s="81"/>
      <c r="AF22" s="81"/>
      <c r="AG22" s="81"/>
    </row>
    <row r="23" spans="1:33" ht="14.4" x14ac:dyDescent="0.3">
      <c r="A23" s="83"/>
      <c r="B23" s="84"/>
      <c r="C23" s="84"/>
      <c r="E23" s="2">
        <f>B12+B14+B16</f>
        <v>923</v>
      </c>
      <c r="H23" s="2"/>
      <c r="S23" s="6">
        <v>13</v>
      </c>
      <c r="T23" s="32" t="s">
        <v>80</v>
      </c>
      <c r="U23" s="85">
        <f>24*60/U22</f>
        <v>11.58168783181908</v>
      </c>
      <c r="V23" s="57" t="s">
        <v>81</v>
      </c>
      <c r="W23" s="86">
        <f>W22*W17</f>
        <v>337.7938098664489</v>
      </c>
      <c r="X23"/>
      <c r="Y23" s="86">
        <f>Y22*Y17</f>
        <v>344.32496634920113</v>
      </c>
      <c r="Z23"/>
      <c r="AA23" s="86">
        <f>AA22*AA17</f>
        <v>363.00331490115138</v>
      </c>
      <c r="AB23" s="18"/>
      <c r="AC23" s="18"/>
      <c r="AD23" s="18"/>
      <c r="AE23" s="18"/>
      <c r="AF23" s="18"/>
      <c r="AG23" s="18"/>
    </row>
    <row r="24" spans="1:33" ht="15" thickBot="1" x14ac:dyDescent="0.35">
      <c r="A24" s="73"/>
      <c r="B24" s="74"/>
      <c r="C24" s="87"/>
      <c r="E24" s="79">
        <f>E23-E22</f>
        <v>11.140999999999963</v>
      </c>
      <c r="H24" s="2"/>
      <c r="S24" s="6">
        <v>14</v>
      </c>
      <c r="T24" s="88" t="s">
        <v>81</v>
      </c>
      <c r="U24" s="89">
        <f>U23*U19</f>
        <v>393.77738628184869</v>
      </c>
      <c r="V24" s="57" t="s">
        <v>82</v>
      </c>
      <c r="W24" s="3">
        <v>65</v>
      </c>
      <c r="X24"/>
      <c r="Y24" s="90">
        <f>+W23*W24/Y23</f>
        <v>63.767079901640479</v>
      </c>
      <c r="Z24" s="91"/>
      <c r="AA24" s="90">
        <f>+Y23*Y24/AA23</f>
        <v>60.485942524514222</v>
      </c>
      <c r="AB24" s="18"/>
      <c r="AC24" s="18"/>
      <c r="AD24" s="18"/>
      <c r="AE24" s="18"/>
      <c r="AF24" s="18"/>
      <c r="AG24" s="18"/>
    </row>
    <row r="25" spans="1:33" ht="13.8" x14ac:dyDescent="0.3">
      <c r="A25" s="83"/>
      <c r="B25" s="92"/>
      <c r="C25" s="87"/>
      <c r="H25" s="2"/>
      <c r="S25" s="18"/>
      <c r="T25" s="93"/>
      <c r="U25" s="94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1:33" ht="13.8" x14ac:dyDescent="0.3">
      <c r="A26" s="83"/>
      <c r="B26" s="95"/>
      <c r="C26" s="87"/>
      <c r="H26" s="2"/>
      <c r="S26" s="18"/>
      <c r="T26" s="81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 x14ac:dyDescent="0.2">
      <c r="C27" s="81"/>
      <c r="S27" s="18"/>
      <c r="T27" s="81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 x14ac:dyDescent="0.2">
      <c r="C28" s="81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</sheetData>
  <mergeCells count="3">
    <mergeCell ref="A1:N1"/>
    <mergeCell ref="T1:U1"/>
    <mergeCell ref="C20:R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19DD-DF16-454A-86F9-8CD9BC598CC1}">
  <dimension ref="A1:AG28"/>
  <sheetViews>
    <sheetView zoomScale="160" zoomScaleNormal="160" workbookViewId="0">
      <selection activeCell="H17" sqref="H17"/>
    </sheetView>
  </sheetViews>
  <sheetFormatPr defaultColWidth="9.109375" defaultRowHeight="10.199999999999999" x14ac:dyDescent="0.2"/>
  <cols>
    <col min="1" max="1" width="14.109375" style="2" bestFit="1" customWidth="1"/>
    <col min="2" max="2" width="7.88671875" style="2" bestFit="1" customWidth="1"/>
    <col min="3" max="3" width="8.44140625" style="82" bestFit="1" customWidth="1"/>
    <col min="4" max="4" width="17.5546875" style="2" bestFit="1" customWidth="1"/>
    <col min="5" max="5" width="10.88671875" style="2" bestFit="1" customWidth="1"/>
    <col min="6" max="6" width="7.33203125" style="2" bestFit="1" customWidth="1"/>
    <col min="7" max="7" width="9.109375" style="2"/>
    <col min="8" max="8" width="10" style="82" customWidth="1"/>
    <col min="9" max="9" width="9.5546875" style="2" bestFit="1" customWidth="1"/>
    <col min="10" max="10" width="10.44140625" style="2" bestFit="1" customWidth="1"/>
    <col min="11" max="11" width="12" style="2" customWidth="1"/>
    <col min="12" max="12" width="10.109375" style="2" bestFit="1" customWidth="1"/>
    <col min="13" max="13" width="10.5546875" style="2" bestFit="1" customWidth="1"/>
    <col min="14" max="14" width="15" style="2" customWidth="1"/>
    <col min="15" max="15" width="12.109375" style="2" customWidth="1"/>
    <col min="16" max="16" width="15.33203125" style="2" customWidth="1"/>
    <col min="17" max="17" width="7.44140625" style="2" bestFit="1" customWidth="1"/>
    <col min="18" max="18" width="7.6640625" style="2" customWidth="1"/>
    <col min="19" max="19" width="5.33203125" style="2" bestFit="1" customWidth="1"/>
    <col min="20" max="20" width="27.5546875" style="82" customWidth="1"/>
    <col min="21" max="21" width="11.44140625" style="2" bestFit="1" customWidth="1"/>
    <col min="22" max="22" width="30.88671875" style="2" customWidth="1"/>
    <col min="23" max="23" width="11.44140625" style="2" bestFit="1" customWidth="1"/>
    <col min="24" max="24" width="6.109375" style="2" bestFit="1" customWidth="1"/>
    <col min="25" max="25" width="11.44140625" style="2" bestFit="1" customWidth="1"/>
    <col min="26" max="26" width="5.44140625" style="2" bestFit="1" customWidth="1"/>
    <col min="27" max="27" width="11.44140625" style="2" bestFit="1" customWidth="1"/>
    <col min="28" max="28" width="6.6640625" style="2" bestFit="1" customWidth="1"/>
    <col min="29" max="29" width="5.5546875" style="2" bestFit="1" customWidth="1"/>
    <col min="30" max="30" width="7" style="2" bestFit="1" customWidth="1"/>
    <col min="31" max="31" width="4.44140625" style="2" bestFit="1" customWidth="1"/>
    <col min="32" max="16384" width="9.109375" style="2"/>
  </cols>
  <sheetData>
    <row r="1" spans="1:33" ht="15" thickBot="1" x14ac:dyDescent="0.35">
      <c r="A1" s="96" t="s">
        <v>94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1" t="s">
        <v>0</v>
      </c>
      <c r="P1" s="1" t="s">
        <v>1</v>
      </c>
      <c r="Q1" s="1"/>
      <c r="R1" s="1"/>
      <c r="T1" s="97" t="s">
        <v>2</v>
      </c>
      <c r="U1" s="98"/>
      <c r="V1" s="3" t="s">
        <v>3</v>
      </c>
      <c r="W1" s="4">
        <v>0.5</v>
      </c>
      <c r="X1"/>
      <c r="Y1" s="5">
        <v>0.4</v>
      </c>
      <c r="Z1"/>
      <c r="AA1" s="5">
        <v>0.3</v>
      </c>
    </row>
    <row r="2" spans="1:33" ht="14.4" x14ac:dyDescent="0.3">
      <c r="A2" s="6" t="s">
        <v>4</v>
      </c>
      <c r="B2" s="7" t="s">
        <v>5</v>
      </c>
      <c r="C2" s="8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8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9" t="s">
        <v>17</v>
      </c>
      <c r="O2" s="10">
        <v>403.76499999999999</v>
      </c>
      <c r="P2" s="11">
        <v>5.88</v>
      </c>
      <c r="Q2" s="6" t="s">
        <v>18</v>
      </c>
      <c r="R2" s="6" t="s">
        <v>19</v>
      </c>
      <c r="S2" s="12" t="s">
        <v>20</v>
      </c>
      <c r="T2" s="13" t="s">
        <v>21</v>
      </c>
      <c r="U2" s="14" t="s">
        <v>22</v>
      </c>
      <c r="V2" s="15" t="s">
        <v>21</v>
      </c>
      <c r="W2" s="16" t="s">
        <v>22</v>
      </c>
      <c r="X2"/>
      <c r="Y2" s="17" t="s">
        <v>22</v>
      </c>
      <c r="Z2"/>
      <c r="AA2" s="17" t="s">
        <v>22</v>
      </c>
      <c r="AB2" s="18"/>
      <c r="AC2" s="18"/>
      <c r="AD2" s="19"/>
      <c r="AE2" s="20"/>
      <c r="AF2" s="21"/>
      <c r="AG2" s="22"/>
    </row>
    <row r="3" spans="1:33" ht="14.4" x14ac:dyDescent="0.3">
      <c r="A3" s="23">
        <f>+B3-H3</f>
        <v>12.419999999999959</v>
      </c>
      <c r="B3" s="24">
        <v>427</v>
      </c>
      <c r="C3" s="25">
        <v>1</v>
      </c>
      <c r="D3" s="6" t="s">
        <v>23</v>
      </c>
      <c r="E3" s="26">
        <v>489.58000000000004</v>
      </c>
      <c r="F3" s="26">
        <v>0</v>
      </c>
      <c r="G3" s="27">
        <f>E3+F3</f>
        <v>489.58000000000004</v>
      </c>
      <c r="H3" s="26">
        <f>G3-I3</f>
        <v>414.58000000000004</v>
      </c>
      <c r="I3" s="27">
        <v>75</v>
      </c>
      <c r="J3" s="28">
        <f>I3/I17*100</f>
        <v>15.957446808510639</v>
      </c>
      <c r="K3" s="29">
        <f>+J3*L3%</f>
        <v>12.791489361702128</v>
      </c>
      <c r="L3" s="30">
        <v>80.16</v>
      </c>
      <c r="M3" s="27">
        <f>O2</f>
        <v>403.76499999999999</v>
      </c>
      <c r="N3" s="28">
        <f>U24</f>
        <v>392.70095147419329</v>
      </c>
      <c r="O3" s="30" t="s">
        <v>24</v>
      </c>
      <c r="P3" s="27" t="s">
        <v>25</v>
      </c>
      <c r="Q3" s="6">
        <v>16</v>
      </c>
      <c r="R3" s="29">
        <f>Q3-J3</f>
        <v>4.2553191489361097E-2</v>
      </c>
      <c r="S3" s="31"/>
      <c r="T3" s="32" t="s">
        <v>26</v>
      </c>
      <c r="U3" s="24">
        <v>30</v>
      </c>
      <c r="V3" s="33" t="s">
        <v>26</v>
      </c>
      <c r="W3" s="34">
        <v>30</v>
      </c>
      <c r="X3"/>
      <c r="Y3" s="34">
        <v>30</v>
      </c>
      <c r="Z3"/>
      <c r="AA3" s="34">
        <v>30</v>
      </c>
      <c r="AB3" s="18"/>
      <c r="AC3" s="18"/>
      <c r="AD3" s="18"/>
      <c r="AE3" s="35"/>
      <c r="AF3" s="18"/>
      <c r="AG3" s="18"/>
    </row>
    <row r="4" spans="1:33" ht="14.4" x14ac:dyDescent="0.3">
      <c r="A4" s="23">
        <f t="shared" ref="A4:A15" si="0">+B4-H4</f>
        <v>-16.03000000000003</v>
      </c>
      <c r="B4" s="24">
        <v>221</v>
      </c>
      <c r="C4" s="25">
        <v>2</v>
      </c>
      <c r="D4" s="6" t="s">
        <v>27</v>
      </c>
      <c r="E4" s="26">
        <v>277.98</v>
      </c>
      <c r="F4" s="26">
        <v>14.05</v>
      </c>
      <c r="G4" s="27">
        <f>E4+F4</f>
        <v>292.03000000000003</v>
      </c>
      <c r="H4" s="26">
        <f t="shared" ref="H4:H16" si="1">G4-I4</f>
        <v>237.03000000000003</v>
      </c>
      <c r="I4" s="27">
        <v>55</v>
      </c>
      <c r="J4" s="28">
        <f>I4/I17*100</f>
        <v>11.702127659574469</v>
      </c>
      <c r="K4" s="29">
        <f t="shared" ref="K4:K13" si="2">+J4*L4%</f>
        <v>8.7777659574468103</v>
      </c>
      <c r="L4" s="30">
        <v>75.010000000000005</v>
      </c>
      <c r="M4" s="6" t="s">
        <v>28</v>
      </c>
      <c r="N4" s="6" t="s">
        <v>29</v>
      </c>
      <c r="O4" s="36">
        <v>263593</v>
      </c>
      <c r="P4" s="36">
        <v>22743</v>
      </c>
      <c r="Q4" s="6">
        <v>13</v>
      </c>
      <c r="R4" s="29">
        <f t="shared" ref="R4:R17" si="3">Q4-J4</f>
        <v>1.2978723404255312</v>
      </c>
      <c r="S4" s="31">
        <v>1</v>
      </c>
      <c r="T4" s="32" t="s">
        <v>30</v>
      </c>
      <c r="U4" s="37">
        <f>M17</f>
        <v>85.907446808510628</v>
      </c>
      <c r="V4" s="38" t="s">
        <v>30</v>
      </c>
      <c r="W4" s="39">
        <v>86.44</v>
      </c>
      <c r="X4"/>
      <c r="Y4" s="39">
        <f>U4</f>
        <v>85.907446808510628</v>
      </c>
      <c r="Z4"/>
      <c r="AA4" s="39">
        <v>84.28</v>
      </c>
      <c r="AB4" s="18"/>
      <c r="AC4" s="18"/>
      <c r="AD4" s="18"/>
      <c r="AE4" s="18"/>
      <c r="AF4" s="18"/>
      <c r="AG4" s="18"/>
    </row>
    <row r="5" spans="1:33" ht="14.4" x14ac:dyDescent="0.3">
      <c r="A5" s="23">
        <f t="shared" si="0"/>
        <v>11.060000000000002</v>
      </c>
      <c r="B5" s="24">
        <v>170</v>
      </c>
      <c r="C5" s="25">
        <v>3</v>
      </c>
      <c r="D5" s="6" t="s">
        <v>31</v>
      </c>
      <c r="E5" s="26">
        <v>167.11</v>
      </c>
      <c r="F5" s="26">
        <v>91.83</v>
      </c>
      <c r="G5" s="27">
        <f>E5+F5</f>
        <v>258.94</v>
      </c>
      <c r="H5" s="26">
        <f t="shared" si="1"/>
        <v>158.94</v>
      </c>
      <c r="I5" s="27">
        <v>100</v>
      </c>
      <c r="J5" s="28">
        <f>I5/I17*100</f>
        <v>21.276595744680851</v>
      </c>
      <c r="K5" s="29">
        <f t="shared" si="2"/>
        <v>16.795744680851062</v>
      </c>
      <c r="L5" s="30">
        <v>78.94</v>
      </c>
      <c r="M5" s="36">
        <f>O4/O2</f>
        <v>652.83766547372852</v>
      </c>
      <c r="N5" s="36">
        <f>+U12</f>
        <v>661.25825481485322</v>
      </c>
      <c r="O5" s="36">
        <f>+N5-M5</f>
        <v>8.4205893411246961</v>
      </c>
      <c r="P5" s="36">
        <f>+P4/O2</f>
        <v>56.3273191088876</v>
      </c>
      <c r="Q5" s="6">
        <v>18</v>
      </c>
      <c r="R5" s="29">
        <f t="shared" si="3"/>
        <v>-3.2765957446808507</v>
      </c>
      <c r="S5" s="31"/>
      <c r="T5" s="32" t="s">
        <v>32</v>
      </c>
      <c r="U5" s="40" t="s">
        <v>33</v>
      </c>
      <c r="V5" s="38" t="s">
        <v>32</v>
      </c>
      <c r="W5" s="41" t="s">
        <v>33</v>
      </c>
      <c r="X5"/>
      <c r="Y5" s="41" t="s">
        <v>33</v>
      </c>
      <c r="Z5"/>
      <c r="AA5" s="41" t="s">
        <v>33</v>
      </c>
      <c r="AB5" s="18"/>
      <c r="AC5" s="18"/>
      <c r="AD5" s="42"/>
      <c r="AE5" s="18"/>
      <c r="AF5" s="18"/>
      <c r="AG5" s="18"/>
    </row>
    <row r="6" spans="1:33" ht="14.4" x14ac:dyDescent="0.3">
      <c r="A6" s="23">
        <f t="shared" si="0"/>
        <v>37.449999999999989</v>
      </c>
      <c r="B6" s="24">
        <v>352</v>
      </c>
      <c r="C6" s="25">
        <v>4</v>
      </c>
      <c r="D6" s="6" t="s">
        <v>34</v>
      </c>
      <c r="E6" s="26">
        <v>314.55</v>
      </c>
      <c r="F6" s="26">
        <v>0</v>
      </c>
      <c r="G6" s="27">
        <f t="shared" ref="G6:G16" si="4">E6+F6</f>
        <v>314.55</v>
      </c>
      <c r="H6" s="26">
        <f>G6-I6</f>
        <v>314.55</v>
      </c>
      <c r="I6" s="27">
        <v>0</v>
      </c>
      <c r="J6" s="28">
        <f>I6/I17*100</f>
        <v>0</v>
      </c>
      <c r="K6" s="29">
        <f t="shared" si="2"/>
        <v>0</v>
      </c>
      <c r="L6" s="6">
        <v>94</v>
      </c>
      <c r="M6" s="6" t="s">
        <v>35</v>
      </c>
      <c r="N6" s="6"/>
      <c r="O6" s="6" t="s">
        <v>36</v>
      </c>
      <c r="P6" s="6">
        <v>2555</v>
      </c>
      <c r="Q6" s="6">
        <v>0</v>
      </c>
      <c r="R6" s="29">
        <f t="shared" si="3"/>
        <v>0</v>
      </c>
      <c r="S6" s="31"/>
      <c r="T6" s="32" t="s">
        <v>37</v>
      </c>
      <c r="U6" s="40" t="s">
        <v>38</v>
      </c>
      <c r="V6" s="38" t="s">
        <v>37</v>
      </c>
      <c r="W6" s="41" t="s">
        <v>39</v>
      </c>
      <c r="X6"/>
      <c r="Y6" s="41" t="s">
        <v>39</v>
      </c>
      <c r="Z6"/>
      <c r="AA6" s="41" t="s">
        <v>39</v>
      </c>
      <c r="AB6" s="43"/>
      <c r="AC6" s="44"/>
      <c r="AD6" s="44"/>
      <c r="AE6" s="44"/>
      <c r="AF6" s="18"/>
      <c r="AG6" s="18"/>
    </row>
    <row r="7" spans="1:33" ht="14.4" x14ac:dyDescent="0.3">
      <c r="A7" s="23">
        <v>0</v>
      </c>
      <c r="B7" s="24">
        <v>0</v>
      </c>
      <c r="C7" s="25">
        <v>5</v>
      </c>
      <c r="D7" s="6" t="s">
        <v>40</v>
      </c>
      <c r="E7" s="26">
        <v>0</v>
      </c>
      <c r="F7" s="26">
        <v>0</v>
      </c>
      <c r="G7" s="27">
        <f t="shared" si="4"/>
        <v>0</v>
      </c>
      <c r="H7" s="26">
        <f t="shared" si="1"/>
        <v>0</v>
      </c>
      <c r="I7" s="27">
        <v>0</v>
      </c>
      <c r="J7" s="28">
        <f>I7/I17*100</f>
        <v>0</v>
      </c>
      <c r="K7" s="29">
        <f t="shared" si="2"/>
        <v>0</v>
      </c>
      <c r="L7" s="6">
        <v>88</v>
      </c>
      <c r="M7" s="36">
        <f>+P5+P8</f>
        <v>62.655257389818338</v>
      </c>
      <c r="N7" s="36">
        <v>67</v>
      </c>
      <c r="O7" s="36">
        <f>+N7-M7</f>
        <v>4.3447426101816617</v>
      </c>
      <c r="P7" s="36"/>
      <c r="Q7" s="6">
        <v>0</v>
      </c>
      <c r="R7" s="29">
        <f t="shared" si="3"/>
        <v>0</v>
      </c>
      <c r="S7" s="31">
        <v>2</v>
      </c>
      <c r="T7" s="32" t="s">
        <v>41</v>
      </c>
      <c r="U7" s="40">
        <v>455</v>
      </c>
      <c r="V7" s="38" t="s">
        <v>41</v>
      </c>
      <c r="W7" s="41">
        <v>465</v>
      </c>
      <c r="X7"/>
      <c r="Y7" s="41">
        <v>455</v>
      </c>
      <c r="Z7"/>
      <c r="AA7" s="41">
        <v>455</v>
      </c>
      <c r="AB7" s="18"/>
      <c r="AC7" s="18"/>
      <c r="AD7" s="42"/>
      <c r="AE7" s="18"/>
      <c r="AF7" s="18"/>
      <c r="AG7" s="18"/>
    </row>
    <row r="8" spans="1:33" ht="14.4" x14ac:dyDescent="0.3">
      <c r="A8" s="23">
        <f t="shared" si="0"/>
        <v>20.165000000000006</v>
      </c>
      <c r="B8" s="24">
        <v>105</v>
      </c>
      <c r="C8" s="25">
        <v>6</v>
      </c>
      <c r="D8" s="6" t="s">
        <v>42</v>
      </c>
      <c r="E8" s="26">
        <v>79.534999999999997</v>
      </c>
      <c r="F8" s="26">
        <v>5.3</v>
      </c>
      <c r="G8" s="27">
        <f t="shared" si="4"/>
        <v>84.834999999999994</v>
      </c>
      <c r="H8" s="26">
        <f t="shared" si="1"/>
        <v>84.834999999999994</v>
      </c>
      <c r="I8" s="27">
        <v>0</v>
      </c>
      <c r="J8" s="28">
        <f>I8/I17*100</f>
        <v>0</v>
      </c>
      <c r="K8" s="29">
        <f t="shared" si="2"/>
        <v>0</v>
      </c>
      <c r="L8" s="6">
        <v>90</v>
      </c>
      <c r="M8" s="30" t="s">
        <v>43</v>
      </c>
      <c r="N8" s="30" t="s">
        <v>44</v>
      </c>
      <c r="O8" s="6" t="s">
        <v>45</v>
      </c>
      <c r="P8" s="36">
        <f>+P6/O2</f>
        <v>6.3279382809307396</v>
      </c>
      <c r="Q8" s="6">
        <v>0</v>
      </c>
      <c r="R8" s="29">
        <f t="shared" si="3"/>
        <v>0</v>
      </c>
      <c r="S8" s="31"/>
      <c r="T8" s="32"/>
      <c r="U8" s="40"/>
      <c r="V8" s="38" t="s">
        <v>46</v>
      </c>
      <c r="W8" s="45">
        <f>((W7*(2-W4/100))/(W4/100))</f>
        <v>610.89079130032405</v>
      </c>
      <c r="X8"/>
      <c r="Y8" s="45">
        <f>((Y7*(2-Y4/100))/(Y4/100))</f>
        <v>604.27953141059788</v>
      </c>
      <c r="Z8"/>
      <c r="AA8" s="45">
        <f>((AA7*(2-AA4/100))/(AA4/100))</f>
        <v>624.73421926910294</v>
      </c>
      <c r="AB8" s="18"/>
      <c r="AC8" s="18"/>
      <c r="AD8" s="42"/>
      <c r="AE8" s="18"/>
      <c r="AF8" s="18"/>
      <c r="AG8" s="18"/>
    </row>
    <row r="9" spans="1:33" ht="14.4" x14ac:dyDescent="0.3">
      <c r="A9" s="23">
        <f t="shared" si="0"/>
        <v>0</v>
      </c>
      <c r="B9" s="24">
        <v>0</v>
      </c>
      <c r="C9" s="25">
        <v>7</v>
      </c>
      <c r="D9" s="6" t="s">
        <v>47</v>
      </c>
      <c r="E9" s="26">
        <v>0</v>
      </c>
      <c r="F9" s="26">
        <v>0</v>
      </c>
      <c r="G9" s="46">
        <f t="shared" si="4"/>
        <v>0</v>
      </c>
      <c r="H9" s="26">
        <f t="shared" si="1"/>
        <v>0</v>
      </c>
      <c r="I9" s="27">
        <v>0</v>
      </c>
      <c r="J9" s="28">
        <f>I9/I17*100</f>
        <v>0</v>
      </c>
      <c r="K9" s="29">
        <f t="shared" si="2"/>
        <v>0</v>
      </c>
      <c r="L9" s="6">
        <v>93</v>
      </c>
      <c r="M9" s="36">
        <f>+M5+M7</f>
        <v>715.49292286354682</v>
      </c>
      <c r="N9" s="36">
        <f>+N5+N7</f>
        <v>728.25825481485322</v>
      </c>
      <c r="O9" s="36">
        <f>+N9-M9</f>
        <v>12.765331951306393</v>
      </c>
      <c r="P9" s="36"/>
      <c r="Q9" s="6">
        <v>0</v>
      </c>
      <c r="R9" s="29">
        <f t="shared" si="3"/>
        <v>0</v>
      </c>
      <c r="S9" s="31" t="s">
        <v>48</v>
      </c>
      <c r="T9" s="32" t="s">
        <v>46</v>
      </c>
      <c r="U9" s="47">
        <f>((U7*(2-U4/100))/(U4/100))</f>
        <v>604.27953141059788</v>
      </c>
      <c r="V9" s="38" t="s">
        <v>49</v>
      </c>
      <c r="W9" s="45">
        <v>24</v>
      </c>
      <c r="X9"/>
      <c r="Y9" s="45">
        <v>24</v>
      </c>
      <c r="Z9"/>
      <c r="AA9" s="45">
        <v>24</v>
      </c>
      <c r="AB9" s="18"/>
      <c r="AC9" s="18"/>
      <c r="AD9" s="42"/>
      <c r="AE9" s="18"/>
      <c r="AF9" s="18"/>
      <c r="AG9" s="18"/>
    </row>
    <row r="10" spans="1:33" ht="14.4" x14ac:dyDescent="0.3">
      <c r="A10" s="23">
        <f t="shared" si="0"/>
        <v>0</v>
      </c>
      <c r="B10" s="24">
        <v>0</v>
      </c>
      <c r="C10" s="25">
        <v>8</v>
      </c>
      <c r="D10" s="6" t="s">
        <v>50</v>
      </c>
      <c r="E10" s="26">
        <v>0</v>
      </c>
      <c r="F10" s="26">
        <v>0</v>
      </c>
      <c r="G10" s="27">
        <f t="shared" si="4"/>
        <v>0</v>
      </c>
      <c r="H10" s="26">
        <f t="shared" si="1"/>
        <v>0</v>
      </c>
      <c r="I10" s="27">
        <v>0</v>
      </c>
      <c r="J10" s="28">
        <f>I10/I17*100</f>
        <v>0</v>
      </c>
      <c r="K10" s="29">
        <f t="shared" si="2"/>
        <v>0</v>
      </c>
      <c r="L10" s="6">
        <v>70</v>
      </c>
      <c r="M10" s="6"/>
      <c r="N10" s="6"/>
      <c r="O10" s="6"/>
      <c r="P10" s="6"/>
      <c r="Q10" s="6">
        <v>0</v>
      </c>
      <c r="R10" s="29">
        <f t="shared" si="3"/>
        <v>0</v>
      </c>
      <c r="S10" s="31" t="s">
        <v>51</v>
      </c>
      <c r="T10" s="32" t="s">
        <v>49</v>
      </c>
      <c r="U10" s="47">
        <v>24</v>
      </c>
      <c r="V10" s="38" t="s">
        <v>52</v>
      </c>
      <c r="W10" s="45">
        <v>20</v>
      </c>
      <c r="X10"/>
      <c r="Y10" s="45">
        <f>U11</f>
        <v>32.978723404255319</v>
      </c>
      <c r="Z10"/>
      <c r="AA10" s="45">
        <v>25</v>
      </c>
      <c r="AB10" s="18"/>
      <c r="AC10" s="18"/>
      <c r="AD10" s="42"/>
      <c r="AE10" s="18"/>
      <c r="AF10" s="18"/>
      <c r="AG10" s="18"/>
    </row>
    <row r="11" spans="1:33" ht="14.4" x14ac:dyDescent="0.3">
      <c r="A11" s="23">
        <f t="shared" si="0"/>
        <v>5</v>
      </c>
      <c r="B11" s="24">
        <v>5</v>
      </c>
      <c r="C11" s="25">
        <v>9</v>
      </c>
      <c r="D11" s="6" t="s">
        <v>53</v>
      </c>
      <c r="E11" s="26">
        <v>0</v>
      </c>
      <c r="F11" s="26">
        <v>0</v>
      </c>
      <c r="G11" s="27">
        <f>E11+F11</f>
        <v>0</v>
      </c>
      <c r="H11" s="26">
        <f t="shared" si="1"/>
        <v>0</v>
      </c>
      <c r="I11" s="27">
        <v>0</v>
      </c>
      <c r="J11" s="28">
        <f>I11/I17*100</f>
        <v>0</v>
      </c>
      <c r="K11" s="29">
        <f t="shared" si="2"/>
        <v>0</v>
      </c>
      <c r="L11" s="6">
        <v>98</v>
      </c>
      <c r="M11" s="6"/>
      <c r="N11" s="6"/>
      <c r="O11" s="6"/>
      <c r="P11" s="6"/>
      <c r="Q11" s="6">
        <v>0</v>
      </c>
      <c r="R11" s="29">
        <f t="shared" si="3"/>
        <v>0</v>
      </c>
      <c r="S11" s="31"/>
      <c r="T11" s="32" t="s">
        <v>54</v>
      </c>
      <c r="U11" s="47">
        <f>J5+J4</f>
        <v>32.978723404255319</v>
      </c>
      <c r="V11" s="38" t="s">
        <v>55</v>
      </c>
      <c r="W11" s="45">
        <f>SUM(W8:W10)</f>
        <v>654.89079130032405</v>
      </c>
      <c r="X11"/>
      <c r="Y11" s="45">
        <f>SUM(Y8:Y10)</f>
        <v>661.25825481485322</v>
      </c>
      <c r="Z11"/>
      <c r="AA11" s="45">
        <f>SUM(AA8:AA10)</f>
        <v>673.73421926910294</v>
      </c>
      <c r="AB11" s="18"/>
      <c r="AC11" s="18"/>
      <c r="AD11" s="42"/>
      <c r="AE11" s="18"/>
      <c r="AF11" s="18"/>
      <c r="AG11" s="18"/>
    </row>
    <row r="12" spans="1:33" ht="14.4" x14ac:dyDescent="0.3">
      <c r="A12" s="48">
        <f>+B12-H12</f>
        <v>-0.35900000000003729</v>
      </c>
      <c r="B12" s="24">
        <v>908</v>
      </c>
      <c r="C12" s="25">
        <v>10</v>
      </c>
      <c r="D12" s="6" t="s">
        <v>56</v>
      </c>
      <c r="E12" s="49">
        <v>825.23900000000003</v>
      </c>
      <c r="F12" s="26">
        <v>305.25</v>
      </c>
      <c r="G12" s="27">
        <f>E12+F12</f>
        <v>1130.489</v>
      </c>
      <c r="H12" s="49">
        <f>G12-I12-0.13</f>
        <v>908.35900000000004</v>
      </c>
      <c r="I12" s="46">
        <v>222</v>
      </c>
      <c r="J12" s="28">
        <f>I12/I17*100</f>
        <v>47.234042553191493</v>
      </c>
      <c r="K12" s="29">
        <f t="shared" si="2"/>
        <v>43.927659574468088</v>
      </c>
      <c r="L12" s="6">
        <v>93</v>
      </c>
      <c r="M12" s="36"/>
      <c r="N12" s="6"/>
      <c r="O12" s="6"/>
      <c r="P12" s="6"/>
      <c r="Q12" s="6">
        <v>48</v>
      </c>
      <c r="R12" s="29">
        <f t="shared" si="3"/>
        <v>0.76595744680850686</v>
      </c>
      <c r="S12" s="31" t="s">
        <v>57</v>
      </c>
      <c r="T12" s="32" t="s">
        <v>55</v>
      </c>
      <c r="U12" s="47">
        <f>U9+U10+U11</f>
        <v>661.25825481485322</v>
      </c>
      <c r="V12" s="38" t="s">
        <v>58</v>
      </c>
      <c r="W12" s="50">
        <v>16</v>
      </c>
      <c r="X12"/>
      <c r="Y12" s="50">
        <v>16</v>
      </c>
      <c r="Z12"/>
      <c r="AA12" s="50">
        <v>16</v>
      </c>
      <c r="AB12" s="18"/>
      <c r="AC12" s="18"/>
      <c r="AD12" s="42"/>
      <c r="AE12" s="18"/>
      <c r="AF12" s="18"/>
      <c r="AG12" s="18"/>
    </row>
    <row r="13" spans="1:33" ht="14.4" x14ac:dyDescent="0.3">
      <c r="A13" s="23">
        <f t="shared" si="0"/>
        <v>-2.8500000000000014</v>
      </c>
      <c r="B13" s="24">
        <v>41</v>
      </c>
      <c r="C13" s="25">
        <v>11</v>
      </c>
      <c r="D13" s="6" t="s">
        <v>60</v>
      </c>
      <c r="E13" s="26">
        <v>25.85</v>
      </c>
      <c r="F13" s="26">
        <v>26</v>
      </c>
      <c r="G13" s="27">
        <f>E13+F13</f>
        <v>51.85</v>
      </c>
      <c r="H13" s="26">
        <f>G13-I13</f>
        <v>43.85</v>
      </c>
      <c r="I13" s="27">
        <v>8</v>
      </c>
      <c r="J13" s="28">
        <f>I13/I17*100</f>
        <v>1.7021276595744681</v>
      </c>
      <c r="K13" s="29">
        <f t="shared" si="2"/>
        <v>1.168340425531915</v>
      </c>
      <c r="L13" s="6">
        <v>68.64</v>
      </c>
      <c r="M13" s="24" t="s">
        <v>61</v>
      </c>
      <c r="N13" s="6">
        <v>12</v>
      </c>
      <c r="O13" s="6" t="s">
        <v>62</v>
      </c>
      <c r="P13" s="53"/>
      <c r="Q13" s="6">
        <v>2</v>
      </c>
      <c r="R13" s="29">
        <f t="shared" si="3"/>
        <v>0.2978723404255319</v>
      </c>
      <c r="S13" s="31">
        <v>5</v>
      </c>
      <c r="T13" s="32" t="s">
        <v>58</v>
      </c>
      <c r="U13" s="24">
        <v>20</v>
      </c>
      <c r="V13" s="38" t="s">
        <v>63</v>
      </c>
      <c r="W13" s="34">
        <v>10060</v>
      </c>
      <c r="X13"/>
      <c r="Y13" s="34">
        <v>10670</v>
      </c>
      <c r="Z13"/>
      <c r="AA13" s="34">
        <v>12000</v>
      </c>
      <c r="AB13" s="18"/>
      <c r="AC13" s="18"/>
      <c r="AD13" s="42"/>
      <c r="AE13" s="18"/>
      <c r="AF13" s="18"/>
      <c r="AG13" s="18"/>
    </row>
    <row r="14" spans="1:33" ht="14.4" x14ac:dyDescent="0.3">
      <c r="A14" s="23">
        <f t="shared" si="0"/>
        <v>14.569999999999993</v>
      </c>
      <c r="B14" s="24">
        <v>99</v>
      </c>
      <c r="C14" s="25">
        <v>12</v>
      </c>
      <c r="D14" s="6" t="s">
        <v>64</v>
      </c>
      <c r="E14" s="26">
        <v>80.59</v>
      </c>
      <c r="F14" s="26">
        <v>13.84</v>
      </c>
      <c r="G14" s="27">
        <f>E14+F14</f>
        <v>94.43</v>
      </c>
      <c r="H14" s="26">
        <f t="shared" si="1"/>
        <v>84.43</v>
      </c>
      <c r="I14" s="27">
        <v>10</v>
      </c>
      <c r="J14" s="28">
        <f>I14/I17*100</f>
        <v>2.1276595744680851</v>
      </c>
      <c r="K14" s="29">
        <f>+J14*L14%</f>
        <v>2.0851063829787235</v>
      </c>
      <c r="L14" s="6">
        <v>98</v>
      </c>
      <c r="M14" s="6"/>
      <c r="N14" s="6"/>
      <c r="O14" s="6"/>
      <c r="P14" s="30"/>
      <c r="Q14" s="6">
        <v>3</v>
      </c>
      <c r="R14" s="29">
        <f t="shared" si="3"/>
        <v>0.87234042553191493</v>
      </c>
      <c r="S14" s="31">
        <v>6</v>
      </c>
      <c r="T14" s="32" t="s">
        <v>63</v>
      </c>
      <c r="U14" s="24">
        <v>12000</v>
      </c>
      <c r="V14" s="38" t="s">
        <v>65</v>
      </c>
      <c r="W14" s="54">
        <v>0.92</v>
      </c>
      <c r="X14"/>
      <c r="Y14" s="54">
        <v>0.92</v>
      </c>
      <c r="Z14"/>
      <c r="AA14" s="54">
        <v>0.92</v>
      </c>
      <c r="AB14" s="18"/>
      <c r="AC14" s="18"/>
      <c r="AD14" s="42"/>
      <c r="AE14" s="18"/>
      <c r="AF14" s="18"/>
      <c r="AG14" s="18"/>
    </row>
    <row r="15" spans="1:33" ht="14.4" x14ac:dyDescent="0.3">
      <c r="A15" s="23">
        <f t="shared" si="0"/>
        <v>0</v>
      </c>
      <c r="B15" s="24">
        <v>0</v>
      </c>
      <c r="C15" s="25">
        <v>13</v>
      </c>
      <c r="D15" s="6" t="s">
        <v>1</v>
      </c>
      <c r="E15" s="26">
        <v>0</v>
      </c>
      <c r="F15" s="26">
        <v>0</v>
      </c>
      <c r="G15" s="27">
        <f>E15+F15</f>
        <v>0</v>
      </c>
      <c r="H15" s="26">
        <f>G15-I15</f>
        <v>0</v>
      </c>
      <c r="I15" s="27">
        <v>0</v>
      </c>
      <c r="J15" s="28">
        <f>I15/I17*100</f>
        <v>0</v>
      </c>
      <c r="K15" s="29">
        <f>J15*L15</f>
        <v>0</v>
      </c>
      <c r="L15" s="55">
        <v>0.98</v>
      </c>
      <c r="M15" s="6"/>
      <c r="N15" s="6"/>
      <c r="O15" s="6"/>
      <c r="P15" s="30"/>
      <c r="Q15" s="6"/>
      <c r="R15" s="29"/>
      <c r="S15" s="31"/>
      <c r="T15" s="32"/>
      <c r="U15" s="24"/>
      <c r="V15" s="38"/>
      <c r="W15" s="54"/>
      <c r="X15"/>
      <c r="Y15" s="54"/>
      <c r="Z15"/>
      <c r="AA15" s="54"/>
      <c r="AB15" s="18"/>
      <c r="AC15" s="18"/>
      <c r="AD15" s="42"/>
      <c r="AE15" s="18"/>
      <c r="AF15" s="18"/>
      <c r="AG15" s="18"/>
    </row>
    <row r="16" spans="1:33" ht="14.4" x14ac:dyDescent="0.3">
      <c r="A16" s="23">
        <f>+B16-H16</f>
        <v>-7.3900000000000006</v>
      </c>
      <c r="B16" s="24">
        <v>0</v>
      </c>
      <c r="C16" s="25">
        <v>14</v>
      </c>
      <c r="D16" s="6" t="s">
        <v>66</v>
      </c>
      <c r="E16" s="26">
        <v>6.03</v>
      </c>
      <c r="F16" s="26">
        <v>1.36</v>
      </c>
      <c r="G16" s="27">
        <f t="shared" si="4"/>
        <v>7.3900000000000006</v>
      </c>
      <c r="H16" s="26">
        <f t="shared" si="1"/>
        <v>7.3900000000000006</v>
      </c>
      <c r="I16" s="27">
        <v>0</v>
      </c>
      <c r="J16" s="28">
        <f>I16/I17*100</f>
        <v>0</v>
      </c>
      <c r="K16" s="29">
        <f>+J16*L16%</f>
        <v>0</v>
      </c>
      <c r="L16" s="6">
        <v>94</v>
      </c>
      <c r="M16" s="8" t="s">
        <v>67</v>
      </c>
      <c r="N16" s="6" t="s">
        <v>68</v>
      </c>
      <c r="O16" s="36" t="s">
        <v>69</v>
      </c>
      <c r="P16" s="6"/>
      <c r="Q16" s="6"/>
      <c r="R16" s="29"/>
      <c r="S16" s="31">
        <v>7</v>
      </c>
      <c r="T16" s="32" t="s">
        <v>65</v>
      </c>
      <c r="U16" s="56">
        <v>0.9</v>
      </c>
      <c r="V16" s="57" t="s">
        <v>70</v>
      </c>
      <c r="W16" s="58">
        <f>(W13*W14)/(W11-W10)</f>
        <v>14.577625202350729</v>
      </c>
      <c r="X16"/>
      <c r="Y16" s="58">
        <f>(Y13*Y14)/(Y11-Y10)</f>
        <v>15.624255620679632</v>
      </c>
      <c r="Z16"/>
      <c r="AA16" s="58">
        <f>(AA13*AA14)/(AA11-AA10)</f>
        <v>17.017754994392352</v>
      </c>
      <c r="AB16" s="18"/>
      <c r="AC16" s="18"/>
      <c r="AD16" s="42"/>
      <c r="AE16" s="18"/>
      <c r="AF16" s="18"/>
      <c r="AG16" s="18"/>
    </row>
    <row r="17" spans="1:33" ht="14.4" x14ac:dyDescent="0.3">
      <c r="A17" s="59">
        <f>+B17-H17</f>
        <v>74.036000000000058</v>
      </c>
      <c r="B17" s="6">
        <f>SUM(B3:B14)+B16</f>
        <v>2328</v>
      </c>
      <c r="C17" s="8"/>
      <c r="D17" s="6" t="s">
        <v>10</v>
      </c>
      <c r="E17" s="26">
        <f>SUM(E3:E16)</f>
        <v>2266.4640000000004</v>
      </c>
      <c r="F17" s="27">
        <f>SUM(F3:F16)</f>
        <v>457.63</v>
      </c>
      <c r="G17" s="27">
        <f>E17+F17</f>
        <v>2724.0940000000005</v>
      </c>
      <c r="H17" s="26">
        <f>SUM(H3:H16)</f>
        <v>2253.9639999999999</v>
      </c>
      <c r="I17" s="27">
        <f>SUM(I3:I16)</f>
        <v>470</v>
      </c>
      <c r="J17" s="28">
        <f>SUM(J3:J16)</f>
        <v>100</v>
      </c>
      <c r="K17" s="29">
        <f>SUM(K3:K16)</f>
        <v>85.546106382978707</v>
      </c>
      <c r="L17" s="6"/>
      <c r="M17" s="30">
        <f>+O2/I17*100</f>
        <v>85.907446808510628</v>
      </c>
      <c r="N17" s="60">
        <f>+K17</f>
        <v>85.546106382978707</v>
      </c>
      <c r="O17" s="27">
        <f>+M17-N17</f>
        <v>0.36134042553192103</v>
      </c>
      <c r="P17" s="36">
        <f>1036+27</f>
        <v>1063</v>
      </c>
      <c r="Q17" s="6">
        <f>SUM(Q3:Q16)</f>
        <v>100</v>
      </c>
      <c r="R17" s="29">
        <f t="shared" si="3"/>
        <v>0</v>
      </c>
      <c r="S17" s="31">
        <v>8</v>
      </c>
      <c r="T17" s="32" t="s">
        <v>70</v>
      </c>
      <c r="U17" s="61">
        <f>(U14*U16)/(U12-U11)</f>
        <v>17.18980081326556</v>
      </c>
      <c r="V17" s="38" t="s">
        <v>71</v>
      </c>
      <c r="W17" s="50">
        <v>34</v>
      </c>
      <c r="X17"/>
      <c r="Y17" s="50">
        <v>34</v>
      </c>
      <c r="Z17"/>
      <c r="AA17" s="50">
        <v>34</v>
      </c>
      <c r="AB17" s="18"/>
      <c r="AC17" s="18"/>
      <c r="AD17" s="18"/>
      <c r="AE17" s="18"/>
      <c r="AF17" s="18"/>
      <c r="AG17" s="18"/>
    </row>
    <row r="18" spans="1:33" ht="14.4" x14ac:dyDescent="0.3">
      <c r="A18" s="62"/>
      <c r="B18" s="63">
        <f>+H17-B17</f>
        <v>-74.036000000000058</v>
      </c>
      <c r="C18" s="8"/>
      <c r="D18" s="6"/>
      <c r="E18" s="26"/>
      <c r="F18" s="27"/>
      <c r="G18" s="27"/>
      <c r="H18" s="26"/>
      <c r="I18" s="27"/>
      <c r="J18" s="28" t="s">
        <v>72</v>
      </c>
      <c r="K18" s="64">
        <f>P2/M3</f>
        <v>1.4562926454744716E-2</v>
      </c>
      <c r="L18" s="6"/>
      <c r="M18" s="30"/>
      <c r="N18" s="60"/>
      <c r="O18" s="27"/>
      <c r="P18" s="36">
        <f>+P17-P19</f>
        <v>62.821000000000026</v>
      </c>
      <c r="Q18" s="6"/>
      <c r="R18" s="29"/>
      <c r="S18" s="31"/>
      <c r="T18" s="32"/>
      <c r="U18" s="61"/>
      <c r="V18" s="38"/>
      <c r="W18" s="50"/>
      <c r="X18"/>
      <c r="Y18" s="50"/>
      <c r="Z18"/>
      <c r="AA18" s="50"/>
      <c r="AB18" s="18"/>
      <c r="AC18" s="18"/>
      <c r="AD18" s="18"/>
      <c r="AE18" s="18"/>
      <c r="AF18" s="18"/>
      <c r="AG18" s="18"/>
    </row>
    <row r="19" spans="1:33" ht="23.4" x14ac:dyDescent="0.45">
      <c r="A19" s="6">
        <f>B3+B4+B5+B13</f>
        <v>859</v>
      </c>
      <c r="B19" s="6">
        <f>B12+B14+B16</f>
        <v>1007</v>
      </c>
      <c r="C19" s="8"/>
      <c r="D19" s="6" t="s">
        <v>73</v>
      </c>
      <c r="E19" s="27">
        <v>0</v>
      </c>
      <c r="F19" s="27">
        <v>0</v>
      </c>
      <c r="G19" s="27">
        <f>+E19+F19</f>
        <v>0</v>
      </c>
      <c r="H19" s="27">
        <f>G19-I19</f>
        <v>0</v>
      </c>
      <c r="I19" s="27">
        <f>F19</f>
        <v>0</v>
      </c>
      <c r="J19" s="65"/>
      <c r="K19" s="29"/>
      <c r="L19" s="6" t="s">
        <v>74</v>
      </c>
      <c r="M19" s="25" t="s">
        <v>75</v>
      </c>
      <c r="N19" s="66">
        <f>H3+H4+H5+H13+H10</f>
        <v>854.4000000000002</v>
      </c>
      <c r="O19" s="65" t="s">
        <v>76</v>
      </c>
      <c r="P19" s="67">
        <f>H12+H14+H16</f>
        <v>1000.179</v>
      </c>
      <c r="Q19" s="27">
        <f>+P19+N19</f>
        <v>1854.5790000000002</v>
      </c>
      <c r="R19" s="68"/>
      <c r="S19" s="31">
        <v>9</v>
      </c>
      <c r="T19" s="32" t="s">
        <v>71</v>
      </c>
      <c r="U19" s="24">
        <v>34</v>
      </c>
      <c r="V19" s="38" t="s">
        <v>77</v>
      </c>
      <c r="W19" s="69">
        <f>W17*60/W16</f>
        <v>139.94048904968676</v>
      </c>
      <c r="X19"/>
      <c r="Y19" s="69">
        <f>Y17*60/Y16</f>
        <v>130.56622021083288</v>
      </c>
      <c r="Z19"/>
      <c r="AA19" s="69">
        <f>AA17*60/AA16</f>
        <v>119.87480138668207</v>
      </c>
      <c r="AB19" s="18"/>
      <c r="AC19" s="18"/>
      <c r="AD19" s="18"/>
      <c r="AE19" s="18"/>
      <c r="AF19" s="18"/>
      <c r="AG19" s="18"/>
    </row>
    <row r="20" spans="1:33" ht="14.4" x14ac:dyDescent="0.3">
      <c r="A20" s="63">
        <f>A19-N19</f>
        <v>4.5999999999997954</v>
      </c>
      <c r="B20" s="70">
        <f>B19-P19</f>
        <v>6.8210000000000264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31">
        <v>10</v>
      </c>
      <c r="T20" s="32" t="s">
        <v>77</v>
      </c>
      <c r="U20" s="71">
        <f>U19*60/U17</f>
        <v>118.6750225997796</v>
      </c>
      <c r="V20" s="57" t="s">
        <v>78</v>
      </c>
      <c r="W20" s="72">
        <v>5</v>
      </c>
      <c r="X20"/>
      <c r="Y20" s="72">
        <v>12</v>
      </c>
      <c r="Z20"/>
      <c r="AA20" s="72">
        <v>15</v>
      </c>
      <c r="AB20" s="18"/>
      <c r="AC20" s="18"/>
      <c r="AD20" s="18"/>
      <c r="AE20" s="18"/>
      <c r="AF20" s="18"/>
      <c r="AG20" s="18"/>
    </row>
    <row r="21" spans="1:33" ht="42" x14ac:dyDescent="0.3">
      <c r="A21" s="73"/>
      <c r="B21" s="74"/>
      <c r="C21" s="74"/>
      <c r="H21" s="2"/>
      <c r="S21" s="8">
        <v>11</v>
      </c>
      <c r="T21" s="32" t="s">
        <v>78</v>
      </c>
      <c r="U21" s="75">
        <v>6</v>
      </c>
      <c r="V21" s="57" t="s">
        <v>79</v>
      </c>
      <c r="W21" s="72">
        <f>W20+W19</f>
        <v>144.94048904968676</v>
      </c>
      <c r="X21"/>
      <c r="Y21" s="72">
        <f>Y20+Y19</f>
        <v>142.56622021083288</v>
      </c>
      <c r="Z21"/>
      <c r="AA21" s="72">
        <f>AA20+AA19</f>
        <v>134.87480138668207</v>
      </c>
      <c r="AB21" s="18"/>
      <c r="AC21" s="18"/>
      <c r="AD21" s="18"/>
      <c r="AE21" s="18"/>
      <c r="AF21" s="18"/>
      <c r="AG21" s="18"/>
    </row>
    <row r="22" spans="1:33" s="82" customFormat="1" ht="14.4" x14ac:dyDescent="0.3">
      <c r="A22" s="76"/>
      <c r="B22" s="77">
        <f>A12+A16</f>
        <v>-7.7490000000000379</v>
      </c>
      <c r="C22" s="78"/>
      <c r="D22" s="2"/>
      <c r="E22" s="79">
        <f>H12+H14+H16</f>
        <v>1000.179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6">
        <v>12</v>
      </c>
      <c r="T22" s="32" t="s">
        <v>79</v>
      </c>
      <c r="U22" s="71">
        <f>U21+U20</f>
        <v>124.6750225997796</v>
      </c>
      <c r="V22" s="38" t="s">
        <v>80</v>
      </c>
      <c r="W22" s="80">
        <f>24*60/W21</f>
        <v>9.9351120548955549</v>
      </c>
      <c r="X22"/>
      <c r="Y22" s="80">
        <f>24*60/Y21</f>
        <v>10.100569390634526</v>
      </c>
      <c r="Z22"/>
      <c r="AA22" s="80">
        <f>24*60/AA21</f>
        <v>10.676568085327983</v>
      </c>
      <c r="AB22" s="81"/>
      <c r="AC22" s="81"/>
      <c r="AD22" s="81"/>
      <c r="AE22" s="81"/>
      <c r="AF22" s="81"/>
      <c r="AG22" s="81"/>
    </row>
    <row r="23" spans="1:33" ht="14.4" x14ac:dyDescent="0.3">
      <c r="A23" s="83"/>
      <c r="B23" s="84"/>
      <c r="C23" s="84"/>
      <c r="E23" s="2">
        <f>B12+B14+B16</f>
        <v>1007</v>
      </c>
      <c r="H23" s="2"/>
      <c r="S23" s="6">
        <v>13</v>
      </c>
      <c r="T23" s="32" t="s">
        <v>80</v>
      </c>
      <c r="U23" s="85">
        <f>24*60/U22</f>
        <v>11.550027984535097</v>
      </c>
      <c r="V23" s="57" t="s">
        <v>81</v>
      </c>
      <c r="W23" s="86">
        <f>W22*W17</f>
        <v>337.7938098664489</v>
      </c>
      <c r="X23"/>
      <c r="Y23" s="86">
        <f>Y22*Y17</f>
        <v>343.41935928157386</v>
      </c>
      <c r="Z23"/>
      <c r="AA23" s="86">
        <f>AA22*AA17</f>
        <v>363.00331490115138</v>
      </c>
      <c r="AB23" s="18"/>
      <c r="AC23" s="18"/>
      <c r="AD23" s="18"/>
      <c r="AE23" s="18"/>
      <c r="AF23" s="18"/>
      <c r="AG23" s="18"/>
    </row>
    <row r="24" spans="1:33" ht="15" thickBot="1" x14ac:dyDescent="0.35">
      <c r="A24" s="73"/>
      <c r="B24" s="74"/>
      <c r="C24" s="87"/>
      <c r="E24" s="79">
        <f>E23-E22</f>
        <v>6.8210000000000264</v>
      </c>
      <c r="H24" s="2"/>
      <c r="S24" s="6">
        <v>14</v>
      </c>
      <c r="T24" s="88" t="s">
        <v>81</v>
      </c>
      <c r="U24" s="89">
        <f>U23*U19</f>
        <v>392.70095147419329</v>
      </c>
      <c r="V24" s="57" t="s">
        <v>82</v>
      </c>
      <c r="W24" s="3">
        <v>65</v>
      </c>
      <c r="X24"/>
      <c r="Y24" s="90">
        <f>+W23*W24/Y23</f>
        <v>63.935235588500085</v>
      </c>
      <c r="Z24" s="91"/>
      <c r="AA24" s="90">
        <f>+Y23*Y24/AA23</f>
        <v>60.485942524514222</v>
      </c>
      <c r="AB24" s="18"/>
      <c r="AC24" s="18"/>
      <c r="AD24" s="18"/>
      <c r="AE24" s="18"/>
      <c r="AF24" s="18"/>
      <c r="AG24" s="18"/>
    </row>
    <row r="25" spans="1:33" ht="13.8" x14ac:dyDescent="0.3">
      <c r="A25" s="83"/>
      <c r="B25" s="92"/>
      <c r="C25" s="87"/>
      <c r="H25" s="2"/>
      <c r="S25" s="18"/>
      <c r="T25" s="93"/>
      <c r="U25" s="94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1:33" ht="13.8" x14ac:dyDescent="0.3">
      <c r="A26" s="83"/>
      <c r="B26" s="95"/>
      <c r="C26" s="87"/>
      <c r="H26" s="2"/>
      <c r="S26" s="18"/>
      <c r="T26" s="81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 x14ac:dyDescent="0.2">
      <c r="C27" s="81"/>
      <c r="S27" s="18"/>
      <c r="T27" s="81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 x14ac:dyDescent="0.2">
      <c r="C28" s="81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</sheetData>
  <mergeCells count="3">
    <mergeCell ref="A1:N1"/>
    <mergeCell ref="T1:U1"/>
    <mergeCell ref="C20:R2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0F41-0433-409F-B9C3-8FC481FAB4BF}">
  <dimension ref="A1:AG28"/>
  <sheetViews>
    <sheetView zoomScale="174" zoomScaleNormal="174" workbookViewId="0">
      <selection activeCell="H7" sqref="H7"/>
    </sheetView>
  </sheetViews>
  <sheetFormatPr defaultColWidth="9.109375" defaultRowHeight="10.199999999999999" x14ac:dyDescent="0.2"/>
  <cols>
    <col min="1" max="1" width="14.109375" style="2" bestFit="1" customWidth="1"/>
    <col min="2" max="2" width="7.88671875" style="2" bestFit="1" customWidth="1"/>
    <col min="3" max="3" width="8.44140625" style="82" bestFit="1" customWidth="1"/>
    <col min="4" max="4" width="17.5546875" style="2" bestFit="1" customWidth="1"/>
    <col min="5" max="5" width="10.88671875" style="2" bestFit="1" customWidth="1"/>
    <col min="6" max="6" width="7.33203125" style="2" bestFit="1" customWidth="1"/>
    <col min="7" max="7" width="9.109375" style="2"/>
    <col min="8" max="8" width="10" style="82" customWidth="1"/>
    <col min="9" max="9" width="9.5546875" style="2" bestFit="1" customWidth="1"/>
    <col min="10" max="10" width="10.44140625" style="2" bestFit="1" customWidth="1"/>
    <col min="11" max="11" width="12" style="2" customWidth="1"/>
    <col min="12" max="12" width="10.109375" style="2" bestFit="1" customWidth="1"/>
    <col min="13" max="13" width="10.5546875" style="2" bestFit="1" customWidth="1"/>
    <col min="14" max="14" width="15" style="2" customWidth="1"/>
    <col min="15" max="15" width="12.109375" style="2" customWidth="1"/>
    <col min="16" max="16" width="15.33203125" style="2" customWidth="1"/>
    <col min="17" max="17" width="7.44140625" style="2" bestFit="1" customWidth="1"/>
    <col min="18" max="18" width="7.6640625" style="2" customWidth="1"/>
    <col min="19" max="19" width="5.33203125" style="2" bestFit="1" customWidth="1"/>
    <col min="20" max="20" width="27.5546875" style="82" customWidth="1"/>
    <col min="21" max="21" width="11.44140625" style="2" bestFit="1" customWidth="1"/>
    <col min="22" max="22" width="30.88671875" style="2" customWidth="1"/>
    <col min="23" max="23" width="11.44140625" style="2" bestFit="1" customWidth="1"/>
    <col min="24" max="24" width="6.109375" style="2" bestFit="1" customWidth="1"/>
    <col min="25" max="25" width="11.44140625" style="2" bestFit="1" customWidth="1"/>
    <col min="26" max="26" width="5.44140625" style="2" bestFit="1" customWidth="1"/>
    <col min="27" max="27" width="11.44140625" style="2" bestFit="1" customWidth="1"/>
    <col min="28" max="28" width="6.6640625" style="2" bestFit="1" customWidth="1"/>
    <col min="29" max="29" width="5.5546875" style="2" bestFit="1" customWidth="1"/>
    <col min="30" max="30" width="7" style="2" bestFit="1" customWidth="1"/>
    <col min="31" max="31" width="4.44140625" style="2" bestFit="1" customWidth="1"/>
    <col min="32" max="16384" width="9.109375" style="2"/>
  </cols>
  <sheetData>
    <row r="1" spans="1:33" ht="15" thickBot="1" x14ac:dyDescent="0.35">
      <c r="A1" s="96" t="s">
        <v>95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1" t="s">
        <v>0</v>
      </c>
      <c r="P1" s="1" t="s">
        <v>1</v>
      </c>
      <c r="Q1" s="1"/>
      <c r="R1" s="1"/>
      <c r="T1" s="97" t="s">
        <v>2</v>
      </c>
      <c r="U1" s="98"/>
      <c r="V1" s="3" t="s">
        <v>3</v>
      </c>
      <c r="W1" s="4">
        <v>0.5</v>
      </c>
      <c r="X1"/>
      <c r="Y1" s="5">
        <v>0.4</v>
      </c>
      <c r="Z1"/>
      <c r="AA1" s="5">
        <v>0.3</v>
      </c>
    </row>
    <row r="2" spans="1:33" ht="14.4" x14ac:dyDescent="0.3">
      <c r="A2" s="6" t="s">
        <v>4</v>
      </c>
      <c r="B2" s="7" t="s">
        <v>5</v>
      </c>
      <c r="C2" s="8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8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9" t="s">
        <v>17</v>
      </c>
      <c r="O2" s="10">
        <v>404.76400000000001</v>
      </c>
      <c r="P2" s="11">
        <v>5.62</v>
      </c>
      <c r="Q2" s="6" t="s">
        <v>18</v>
      </c>
      <c r="R2" s="6" t="s">
        <v>19</v>
      </c>
      <c r="S2" s="12" t="s">
        <v>20</v>
      </c>
      <c r="T2" s="13" t="s">
        <v>21</v>
      </c>
      <c r="U2" s="14" t="s">
        <v>22</v>
      </c>
      <c r="V2" s="15" t="s">
        <v>21</v>
      </c>
      <c r="W2" s="16" t="s">
        <v>22</v>
      </c>
      <c r="X2"/>
      <c r="Y2" s="17" t="s">
        <v>22</v>
      </c>
      <c r="Z2"/>
      <c r="AA2" s="17" t="s">
        <v>22</v>
      </c>
      <c r="AB2" s="18"/>
      <c r="AC2" s="18"/>
      <c r="AD2" s="19"/>
      <c r="AE2" s="20"/>
      <c r="AF2" s="21"/>
      <c r="AG2" s="22"/>
    </row>
    <row r="3" spans="1:33" ht="14.4" x14ac:dyDescent="0.3">
      <c r="A3" s="23">
        <f>+B3-H3</f>
        <v>20.809999999999945</v>
      </c>
      <c r="B3" s="24">
        <v>486</v>
      </c>
      <c r="C3" s="25">
        <v>1</v>
      </c>
      <c r="D3" s="6" t="s">
        <v>23</v>
      </c>
      <c r="E3" s="26">
        <v>414.58</v>
      </c>
      <c r="F3" s="26">
        <v>128.61000000000001</v>
      </c>
      <c r="G3" s="27">
        <f>E3+F3</f>
        <v>543.19000000000005</v>
      </c>
      <c r="H3" s="26">
        <f>G3-I3</f>
        <v>465.19000000000005</v>
      </c>
      <c r="I3" s="27">
        <v>78</v>
      </c>
      <c r="J3" s="28">
        <f>I3/I17*100</f>
        <v>16.525423728813561</v>
      </c>
      <c r="K3" s="29">
        <f>+J3*L3%</f>
        <v>13.24677966101695</v>
      </c>
      <c r="L3" s="30">
        <v>80.16</v>
      </c>
      <c r="M3" s="27">
        <f>O2</f>
        <v>404.76400000000001</v>
      </c>
      <c r="N3" s="28">
        <f>U24</f>
        <v>391.58439709615084</v>
      </c>
      <c r="O3" s="30" t="s">
        <v>24</v>
      </c>
      <c r="P3" s="27" t="s">
        <v>25</v>
      </c>
      <c r="Q3" s="6">
        <v>16</v>
      </c>
      <c r="R3" s="29">
        <f>Q3-J3</f>
        <v>-0.52542372881356059</v>
      </c>
      <c r="S3" s="31"/>
      <c r="T3" s="32" t="s">
        <v>26</v>
      </c>
      <c r="U3" s="24">
        <v>30</v>
      </c>
      <c r="V3" s="33" t="s">
        <v>26</v>
      </c>
      <c r="W3" s="34">
        <v>30</v>
      </c>
      <c r="X3"/>
      <c r="Y3" s="34">
        <v>30</v>
      </c>
      <c r="Z3"/>
      <c r="AA3" s="34">
        <v>30</v>
      </c>
      <c r="AB3" s="18"/>
      <c r="AC3" s="18"/>
      <c r="AD3" s="18"/>
      <c r="AE3" s="35"/>
      <c r="AF3" s="18"/>
      <c r="AG3" s="18"/>
    </row>
    <row r="4" spans="1:33" ht="14.4" x14ac:dyDescent="0.3">
      <c r="A4" s="23">
        <f t="shared" ref="A4:A15" si="0">+B4-H4</f>
        <v>-41.220000000000027</v>
      </c>
      <c r="B4" s="24">
        <v>255</v>
      </c>
      <c r="C4" s="25">
        <v>2</v>
      </c>
      <c r="D4" s="6" t="s">
        <v>27</v>
      </c>
      <c r="E4" s="26">
        <v>237.03</v>
      </c>
      <c r="F4" s="26">
        <v>114.19</v>
      </c>
      <c r="G4" s="27">
        <f>E4+F4</f>
        <v>351.22</v>
      </c>
      <c r="H4" s="26">
        <f t="shared" ref="H4:H16" si="1">G4-I4</f>
        <v>296.22000000000003</v>
      </c>
      <c r="I4" s="27">
        <v>55</v>
      </c>
      <c r="J4" s="28">
        <f>I4/I17*100</f>
        <v>11.652542372881355</v>
      </c>
      <c r="K4" s="29">
        <f t="shared" ref="K4:K13" si="2">+J4*L4%</f>
        <v>8.7405720338983048</v>
      </c>
      <c r="L4" s="30">
        <v>75.010000000000005</v>
      </c>
      <c r="M4" s="6" t="s">
        <v>28</v>
      </c>
      <c r="N4" s="6" t="s">
        <v>29</v>
      </c>
      <c r="O4" s="36">
        <v>264964</v>
      </c>
      <c r="P4" s="36">
        <v>22750</v>
      </c>
      <c r="Q4" s="6">
        <v>13</v>
      </c>
      <c r="R4" s="29">
        <f t="shared" ref="R4:R17" si="3">Q4-J4</f>
        <v>1.3474576271186454</v>
      </c>
      <c r="S4" s="31">
        <v>1</v>
      </c>
      <c r="T4" s="32" t="s">
        <v>30</v>
      </c>
      <c r="U4" s="37">
        <f>M17</f>
        <v>85.755084745762716</v>
      </c>
      <c r="V4" s="38" t="s">
        <v>30</v>
      </c>
      <c r="W4" s="39">
        <v>86.44</v>
      </c>
      <c r="X4"/>
      <c r="Y4" s="39">
        <f>U4</f>
        <v>85.755084745762716</v>
      </c>
      <c r="Z4"/>
      <c r="AA4" s="39">
        <v>84.28</v>
      </c>
      <c r="AB4" s="18"/>
      <c r="AC4" s="18"/>
      <c r="AD4" s="18"/>
      <c r="AE4" s="18"/>
      <c r="AF4" s="18"/>
      <c r="AG4" s="18"/>
    </row>
    <row r="5" spans="1:33" ht="14.4" x14ac:dyDescent="0.3">
      <c r="A5" s="23">
        <f t="shared" si="0"/>
        <v>26.22</v>
      </c>
      <c r="B5" s="24">
        <v>149</v>
      </c>
      <c r="C5" s="25">
        <v>3</v>
      </c>
      <c r="D5" s="6" t="s">
        <v>31</v>
      </c>
      <c r="E5" s="26">
        <v>158.94</v>
      </c>
      <c r="F5" s="26">
        <v>58.84</v>
      </c>
      <c r="G5" s="27">
        <f>E5+F5</f>
        <v>217.78</v>
      </c>
      <c r="H5" s="26">
        <f t="shared" si="1"/>
        <v>122.78</v>
      </c>
      <c r="I5" s="27">
        <v>95</v>
      </c>
      <c r="J5" s="28">
        <f>I5/I17*100</f>
        <v>20.127118644067796</v>
      </c>
      <c r="K5" s="29">
        <f t="shared" si="2"/>
        <v>15.888347457627118</v>
      </c>
      <c r="L5" s="30">
        <v>78.94</v>
      </c>
      <c r="M5" s="36">
        <f>O4/O2</f>
        <v>654.61355258866888</v>
      </c>
      <c r="N5" s="36">
        <f>+U12</f>
        <v>661.94122676884422</v>
      </c>
      <c r="O5" s="36">
        <f>+N5-M5</f>
        <v>7.327674180175336</v>
      </c>
      <c r="P5" s="36">
        <f>+P4/O2</f>
        <v>56.205591406350365</v>
      </c>
      <c r="Q5" s="6">
        <v>18</v>
      </c>
      <c r="R5" s="29">
        <f t="shared" si="3"/>
        <v>-2.1271186440677958</v>
      </c>
      <c r="S5" s="31"/>
      <c r="T5" s="32" t="s">
        <v>32</v>
      </c>
      <c r="U5" s="40" t="s">
        <v>33</v>
      </c>
      <c r="V5" s="38" t="s">
        <v>32</v>
      </c>
      <c r="W5" s="41" t="s">
        <v>33</v>
      </c>
      <c r="X5"/>
      <c r="Y5" s="41" t="s">
        <v>33</v>
      </c>
      <c r="Z5"/>
      <c r="AA5" s="41" t="s">
        <v>33</v>
      </c>
      <c r="AB5" s="18"/>
      <c r="AC5" s="18"/>
      <c r="AD5" s="42"/>
      <c r="AE5" s="18"/>
      <c r="AF5" s="18"/>
      <c r="AG5" s="18"/>
    </row>
    <row r="6" spans="1:33" ht="14.4" x14ac:dyDescent="0.3">
      <c r="A6" s="23">
        <f t="shared" si="0"/>
        <v>30.539999999999964</v>
      </c>
      <c r="B6" s="24">
        <v>335</v>
      </c>
      <c r="C6" s="25">
        <v>4</v>
      </c>
      <c r="D6" s="6" t="s">
        <v>34</v>
      </c>
      <c r="E6" s="26">
        <v>314.55</v>
      </c>
      <c r="F6" s="26">
        <v>0</v>
      </c>
      <c r="G6" s="27">
        <f t="shared" ref="G6:G16" si="4">E6+F6</f>
        <v>314.55</v>
      </c>
      <c r="H6" s="26">
        <f>G6-I6-10.09</f>
        <v>304.46000000000004</v>
      </c>
      <c r="I6" s="27">
        <v>0</v>
      </c>
      <c r="J6" s="28">
        <f>I6/I17*100</f>
        <v>0</v>
      </c>
      <c r="K6" s="29">
        <f t="shared" si="2"/>
        <v>0</v>
      </c>
      <c r="L6" s="6">
        <v>94</v>
      </c>
      <c r="M6" s="6" t="s">
        <v>35</v>
      </c>
      <c r="N6" s="6"/>
      <c r="O6" s="6" t="s">
        <v>36</v>
      </c>
      <c r="P6" s="6">
        <v>3378</v>
      </c>
      <c r="Q6" s="6">
        <v>0</v>
      </c>
      <c r="R6" s="29">
        <f t="shared" si="3"/>
        <v>0</v>
      </c>
      <c r="S6" s="31"/>
      <c r="T6" s="32" t="s">
        <v>37</v>
      </c>
      <c r="U6" s="40" t="s">
        <v>38</v>
      </c>
      <c r="V6" s="38" t="s">
        <v>37</v>
      </c>
      <c r="W6" s="41" t="s">
        <v>39</v>
      </c>
      <c r="X6"/>
      <c r="Y6" s="41" t="s">
        <v>39</v>
      </c>
      <c r="Z6"/>
      <c r="AA6" s="41" t="s">
        <v>39</v>
      </c>
      <c r="AB6" s="43"/>
      <c r="AC6" s="44"/>
      <c r="AD6" s="44"/>
      <c r="AE6" s="44"/>
      <c r="AF6" s="18"/>
      <c r="AG6" s="18"/>
    </row>
    <row r="7" spans="1:33" ht="14.4" x14ac:dyDescent="0.3">
      <c r="A7" s="23">
        <v>0</v>
      </c>
      <c r="B7" s="24">
        <v>0</v>
      </c>
      <c r="C7" s="25">
        <v>5</v>
      </c>
      <c r="D7" s="6" t="s">
        <v>40</v>
      </c>
      <c r="E7" s="26">
        <v>0</v>
      </c>
      <c r="F7" s="26">
        <v>0</v>
      </c>
      <c r="G7" s="27">
        <f t="shared" si="4"/>
        <v>0</v>
      </c>
      <c r="H7" s="26">
        <f t="shared" si="1"/>
        <v>0</v>
      </c>
      <c r="I7" s="27">
        <v>0</v>
      </c>
      <c r="J7" s="28">
        <f>I7/I17*100</f>
        <v>0</v>
      </c>
      <c r="K7" s="29">
        <f t="shared" si="2"/>
        <v>0</v>
      </c>
      <c r="L7" s="6">
        <v>88</v>
      </c>
      <c r="M7" s="36">
        <f>+P5+P8</f>
        <v>64.551195264400988</v>
      </c>
      <c r="N7" s="36">
        <v>67</v>
      </c>
      <c r="O7" s="36">
        <f>+N7-M7</f>
        <v>2.4488047355990119</v>
      </c>
      <c r="P7" s="36"/>
      <c r="Q7" s="6">
        <v>0</v>
      </c>
      <c r="R7" s="29">
        <f t="shared" si="3"/>
        <v>0</v>
      </c>
      <c r="S7" s="31">
        <v>2</v>
      </c>
      <c r="T7" s="32" t="s">
        <v>41</v>
      </c>
      <c r="U7" s="40">
        <v>455</v>
      </c>
      <c r="V7" s="38" t="s">
        <v>41</v>
      </c>
      <c r="W7" s="41">
        <v>465</v>
      </c>
      <c r="X7"/>
      <c r="Y7" s="41">
        <v>455</v>
      </c>
      <c r="Z7"/>
      <c r="AA7" s="41">
        <v>455</v>
      </c>
      <c r="AB7" s="18"/>
      <c r="AC7" s="18"/>
      <c r="AD7" s="42"/>
      <c r="AE7" s="18"/>
      <c r="AF7" s="18"/>
      <c r="AG7" s="18"/>
    </row>
    <row r="8" spans="1:33" ht="14.4" x14ac:dyDescent="0.3">
      <c r="A8" s="23">
        <f t="shared" si="0"/>
        <v>19.865000000000009</v>
      </c>
      <c r="B8" s="24">
        <v>107</v>
      </c>
      <c r="C8" s="25">
        <v>6</v>
      </c>
      <c r="D8" s="6" t="s">
        <v>42</v>
      </c>
      <c r="E8" s="26">
        <v>84.834999999999994</v>
      </c>
      <c r="F8" s="26">
        <v>2.2999999999999998</v>
      </c>
      <c r="G8" s="27">
        <f t="shared" si="4"/>
        <v>87.134999999999991</v>
      </c>
      <c r="H8" s="26">
        <f t="shared" si="1"/>
        <v>87.134999999999991</v>
      </c>
      <c r="I8" s="27">
        <v>0</v>
      </c>
      <c r="J8" s="28">
        <f>I8/I17*100</f>
        <v>0</v>
      </c>
      <c r="K8" s="29">
        <f t="shared" si="2"/>
        <v>0</v>
      </c>
      <c r="L8" s="6">
        <v>90</v>
      </c>
      <c r="M8" s="30" t="s">
        <v>43</v>
      </c>
      <c r="N8" s="30" t="s">
        <v>44</v>
      </c>
      <c r="O8" s="6" t="s">
        <v>45</v>
      </c>
      <c r="P8" s="36">
        <f>+P6/O2</f>
        <v>8.3456038580506178</v>
      </c>
      <c r="Q8" s="6">
        <v>0</v>
      </c>
      <c r="R8" s="29">
        <f t="shared" si="3"/>
        <v>0</v>
      </c>
      <c r="S8" s="31"/>
      <c r="T8" s="32"/>
      <c r="U8" s="40"/>
      <c r="V8" s="38" t="s">
        <v>46</v>
      </c>
      <c r="W8" s="45">
        <f>((W7*(2-W4/100))/(W4/100))</f>
        <v>610.89079130032405</v>
      </c>
      <c r="X8"/>
      <c r="Y8" s="45">
        <f>((Y7*(2-Y4/100))/(Y4/100))</f>
        <v>606.16156575189507</v>
      </c>
      <c r="Z8"/>
      <c r="AA8" s="45">
        <f>((AA7*(2-AA4/100))/(AA4/100))</f>
        <v>624.73421926910294</v>
      </c>
      <c r="AB8" s="18"/>
      <c r="AC8" s="18"/>
      <c r="AD8" s="42"/>
      <c r="AE8" s="18"/>
      <c r="AF8" s="18"/>
      <c r="AG8" s="18"/>
    </row>
    <row r="9" spans="1:33" ht="14.4" x14ac:dyDescent="0.3">
      <c r="A9" s="23">
        <f t="shared" si="0"/>
        <v>0</v>
      </c>
      <c r="B9" s="24">
        <v>0</v>
      </c>
      <c r="C9" s="25">
        <v>7</v>
      </c>
      <c r="D9" s="6" t="s">
        <v>47</v>
      </c>
      <c r="E9" s="26">
        <v>0</v>
      </c>
      <c r="F9" s="26">
        <v>0</v>
      </c>
      <c r="G9" s="46">
        <f t="shared" si="4"/>
        <v>0</v>
      </c>
      <c r="H9" s="26">
        <f t="shared" si="1"/>
        <v>0</v>
      </c>
      <c r="I9" s="27">
        <v>0</v>
      </c>
      <c r="J9" s="28">
        <f>I9/I17*100</f>
        <v>0</v>
      </c>
      <c r="K9" s="29">
        <f t="shared" si="2"/>
        <v>0</v>
      </c>
      <c r="L9" s="6">
        <v>93</v>
      </c>
      <c r="M9" s="36">
        <f>+M5+M7</f>
        <v>719.16474785306991</v>
      </c>
      <c r="N9" s="36">
        <f>+N5+N7</f>
        <v>728.94122676884422</v>
      </c>
      <c r="O9" s="36">
        <f>+N9-M9</f>
        <v>9.7764789157743053</v>
      </c>
      <c r="P9" s="36"/>
      <c r="Q9" s="6">
        <v>0</v>
      </c>
      <c r="R9" s="29">
        <f t="shared" si="3"/>
        <v>0</v>
      </c>
      <c r="S9" s="31" t="s">
        <v>48</v>
      </c>
      <c r="T9" s="32" t="s">
        <v>46</v>
      </c>
      <c r="U9" s="47">
        <f>((U7*(2-U4/100))/(U4/100))</f>
        <v>606.16156575189507</v>
      </c>
      <c r="V9" s="38" t="s">
        <v>49</v>
      </c>
      <c r="W9" s="45">
        <v>24</v>
      </c>
      <c r="X9"/>
      <c r="Y9" s="45">
        <v>24</v>
      </c>
      <c r="Z9"/>
      <c r="AA9" s="45">
        <v>24</v>
      </c>
      <c r="AB9" s="18"/>
      <c r="AC9" s="18"/>
      <c r="AD9" s="42"/>
      <c r="AE9" s="18"/>
      <c r="AF9" s="18"/>
      <c r="AG9" s="18"/>
    </row>
    <row r="10" spans="1:33" ht="14.4" x14ac:dyDescent="0.3">
      <c r="A10" s="23">
        <f t="shared" si="0"/>
        <v>0</v>
      </c>
      <c r="B10" s="24">
        <v>0</v>
      </c>
      <c r="C10" s="25">
        <v>8</v>
      </c>
      <c r="D10" s="6" t="s">
        <v>50</v>
      </c>
      <c r="E10" s="26">
        <v>0</v>
      </c>
      <c r="F10" s="26">
        <v>0</v>
      </c>
      <c r="G10" s="27">
        <f t="shared" si="4"/>
        <v>0</v>
      </c>
      <c r="H10" s="26">
        <f t="shared" si="1"/>
        <v>0</v>
      </c>
      <c r="I10" s="27">
        <v>0</v>
      </c>
      <c r="J10" s="28">
        <f>I10/I17*100</f>
        <v>0</v>
      </c>
      <c r="K10" s="29">
        <f t="shared" si="2"/>
        <v>0</v>
      </c>
      <c r="L10" s="6">
        <v>70</v>
      </c>
      <c r="M10" s="6"/>
      <c r="N10" s="6"/>
      <c r="O10" s="6"/>
      <c r="P10" s="6"/>
      <c r="Q10" s="6">
        <v>0</v>
      </c>
      <c r="R10" s="29">
        <f t="shared" si="3"/>
        <v>0</v>
      </c>
      <c r="S10" s="31" t="s">
        <v>51</v>
      </c>
      <c r="T10" s="32" t="s">
        <v>49</v>
      </c>
      <c r="U10" s="47">
        <v>24</v>
      </c>
      <c r="V10" s="38" t="s">
        <v>52</v>
      </c>
      <c r="W10" s="45">
        <v>20</v>
      </c>
      <c r="X10"/>
      <c r="Y10" s="45">
        <f>U11</f>
        <v>31.779661016949149</v>
      </c>
      <c r="Z10"/>
      <c r="AA10" s="45">
        <v>25</v>
      </c>
      <c r="AB10" s="18"/>
      <c r="AC10" s="18"/>
      <c r="AD10" s="42"/>
      <c r="AE10" s="18"/>
      <c r="AF10" s="18"/>
      <c r="AG10" s="18"/>
    </row>
    <row r="11" spans="1:33" ht="14.4" x14ac:dyDescent="0.3">
      <c r="A11" s="23">
        <f t="shared" si="0"/>
        <v>5</v>
      </c>
      <c r="B11" s="24">
        <v>5</v>
      </c>
      <c r="C11" s="25">
        <v>9</v>
      </c>
      <c r="D11" s="6" t="s">
        <v>53</v>
      </c>
      <c r="E11" s="26">
        <v>0</v>
      </c>
      <c r="F11" s="26">
        <v>0</v>
      </c>
      <c r="G11" s="27">
        <f>E11+F11</f>
        <v>0</v>
      </c>
      <c r="H11" s="26">
        <f t="shared" si="1"/>
        <v>0</v>
      </c>
      <c r="I11" s="27">
        <v>0</v>
      </c>
      <c r="J11" s="28">
        <f>I11/I17*100</f>
        <v>0</v>
      </c>
      <c r="K11" s="29">
        <f t="shared" si="2"/>
        <v>0</v>
      </c>
      <c r="L11" s="6">
        <v>98</v>
      </c>
      <c r="M11" s="6"/>
      <c r="N11" s="6"/>
      <c r="O11" s="6"/>
      <c r="P11" s="6"/>
      <c r="Q11" s="6">
        <v>0</v>
      </c>
      <c r="R11" s="29">
        <f t="shared" si="3"/>
        <v>0</v>
      </c>
      <c r="S11" s="31"/>
      <c r="T11" s="32" t="s">
        <v>54</v>
      </c>
      <c r="U11" s="47">
        <f>J5+J4</f>
        <v>31.779661016949149</v>
      </c>
      <c r="V11" s="38" t="s">
        <v>55</v>
      </c>
      <c r="W11" s="45">
        <f>SUM(W8:W10)</f>
        <v>654.89079130032405</v>
      </c>
      <c r="X11"/>
      <c r="Y11" s="45">
        <f>SUM(Y8:Y10)</f>
        <v>661.94122676884422</v>
      </c>
      <c r="Z11"/>
      <c r="AA11" s="45">
        <f>SUM(AA8:AA10)</f>
        <v>673.73421926910294</v>
      </c>
      <c r="AB11" s="18"/>
      <c r="AC11" s="18"/>
      <c r="AD11" s="42"/>
      <c r="AE11" s="18"/>
      <c r="AF11" s="18"/>
      <c r="AG11" s="18"/>
    </row>
    <row r="12" spans="1:33" ht="14.4" x14ac:dyDescent="0.3">
      <c r="A12" s="48">
        <f>+B12-H12</f>
        <v>17.240999999999985</v>
      </c>
      <c r="B12" s="24">
        <v>964</v>
      </c>
      <c r="C12" s="25">
        <v>10</v>
      </c>
      <c r="D12" s="6" t="s">
        <v>56</v>
      </c>
      <c r="E12" s="49">
        <v>908.35900000000004</v>
      </c>
      <c r="F12" s="26">
        <v>262.39999999999998</v>
      </c>
      <c r="G12" s="27">
        <f>E12+F12</f>
        <v>1170.759</v>
      </c>
      <c r="H12" s="49">
        <f>G12-I12</f>
        <v>946.75900000000001</v>
      </c>
      <c r="I12" s="46">
        <v>224</v>
      </c>
      <c r="J12" s="28">
        <f>I12/I17*100</f>
        <v>47.457627118644069</v>
      </c>
      <c r="K12" s="29">
        <f t="shared" si="2"/>
        <v>44.13559322033899</v>
      </c>
      <c r="L12" s="6">
        <v>93</v>
      </c>
      <c r="M12" s="36"/>
      <c r="N12" s="6"/>
      <c r="O12" s="6"/>
      <c r="P12" s="6"/>
      <c r="Q12" s="6">
        <v>48</v>
      </c>
      <c r="R12" s="29">
        <f t="shared" si="3"/>
        <v>0.54237288135593076</v>
      </c>
      <c r="S12" s="31" t="s">
        <v>57</v>
      </c>
      <c r="T12" s="32" t="s">
        <v>55</v>
      </c>
      <c r="U12" s="47">
        <f>U9+U10+U11</f>
        <v>661.94122676884422</v>
      </c>
      <c r="V12" s="38" t="s">
        <v>58</v>
      </c>
      <c r="W12" s="50">
        <v>16</v>
      </c>
      <c r="X12"/>
      <c r="Y12" s="50">
        <v>16</v>
      </c>
      <c r="Z12"/>
      <c r="AA12" s="50">
        <v>16</v>
      </c>
      <c r="AB12" s="18"/>
      <c r="AC12" s="18"/>
      <c r="AD12" s="42"/>
      <c r="AE12" s="18"/>
      <c r="AF12" s="18"/>
      <c r="AG12" s="18"/>
    </row>
    <row r="13" spans="1:33" ht="14.4" x14ac:dyDescent="0.3">
      <c r="A13" s="23">
        <f t="shared" si="0"/>
        <v>-2.8500000000000014</v>
      </c>
      <c r="B13" s="24">
        <v>31</v>
      </c>
      <c r="C13" s="25">
        <v>11</v>
      </c>
      <c r="D13" s="6" t="s">
        <v>60</v>
      </c>
      <c r="E13" s="26">
        <v>43.85</v>
      </c>
      <c r="F13" s="26">
        <v>0</v>
      </c>
      <c r="G13" s="27">
        <f>E13+F13</f>
        <v>43.85</v>
      </c>
      <c r="H13" s="26">
        <f>G13-I13</f>
        <v>33.85</v>
      </c>
      <c r="I13" s="27">
        <v>10</v>
      </c>
      <c r="J13" s="28">
        <f>I13/I17*100</f>
        <v>2.1186440677966099</v>
      </c>
      <c r="K13" s="29">
        <f t="shared" si="2"/>
        <v>1.4542372881355929</v>
      </c>
      <c r="L13" s="6">
        <v>68.64</v>
      </c>
      <c r="M13" s="24" t="s">
        <v>61</v>
      </c>
      <c r="N13" s="6">
        <v>12</v>
      </c>
      <c r="O13" s="6" t="s">
        <v>62</v>
      </c>
      <c r="P13" s="53"/>
      <c r="Q13" s="6">
        <v>2</v>
      </c>
      <c r="R13" s="29">
        <f t="shared" si="3"/>
        <v>-0.11864406779660985</v>
      </c>
      <c r="S13" s="31">
        <v>5</v>
      </c>
      <c r="T13" s="32" t="s">
        <v>58</v>
      </c>
      <c r="U13" s="24">
        <v>20</v>
      </c>
      <c r="V13" s="38" t="s">
        <v>63</v>
      </c>
      <c r="W13" s="34">
        <v>10060</v>
      </c>
      <c r="X13"/>
      <c r="Y13" s="34">
        <v>10670</v>
      </c>
      <c r="Z13"/>
      <c r="AA13" s="34">
        <v>12000</v>
      </c>
      <c r="AB13" s="18"/>
      <c r="AC13" s="18"/>
      <c r="AD13" s="42"/>
      <c r="AE13" s="18"/>
      <c r="AF13" s="18"/>
      <c r="AG13" s="18"/>
    </row>
    <row r="14" spans="1:33" ht="14.4" x14ac:dyDescent="0.3">
      <c r="A14" s="23">
        <f t="shared" si="0"/>
        <v>4.9999999999997158E-2</v>
      </c>
      <c r="B14" s="24">
        <v>89</v>
      </c>
      <c r="C14" s="25">
        <v>12</v>
      </c>
      <c r="D14" s="6" t="s">
        <v>64</v>
      </c>
      <c r="E14" s="26">
        <v>84.43</v>
      </c>
      <c r="F14" s="26">
        <v>14.52</v>
      </c>
      <c r="G14" s="27">
        <f>E14+F14</f>
        <v>98.95</v>
      </c>
      <c r="H14" s="26">
        <f t="shared" si="1"/>
        <v>88.95</v>
      </c>
      <c r="I14" s="27">
        <v>10</v>
      </c>
      <c r="J14" s="28">
        <f>I14/I17*100</f>
        <v>2.1186440677966099</v>
      </c>
      <c r="K14" s="29">
        <f>+J14*L14%</f>
        <v>2.0762711864406778</v>
      </c>
      <c r="L14" s="6">
        <v>98</v>
      </c>
      <c r="M14" s="6"/>
      <c r="N14" s="6"/>
      <c r="O14" s="6"/>
      <c r="P14" s="30"/>
      <c r="Q14" s="6">
        <v>3</v>
      </c>
      <c r="R14" s="29">
        <f t="shared" si="3"/>
        <v>0.88135593220339015</v>
      </c>
      <c r="S14" s="31">
        <v>6</v>
      </c>
      <c r="T14" s="32" t="s">
        <v>63</v>
      </c>
      <c r="U14" s="24">
        <v>12000</v>
      </c>
      <c r="V14" s="38" t="s">
        <v>65</v>
      </c>
      <c r="W14" s="54">
        <v>0.92</v>
      </c>
      <c r="X14"/>
      <c r="Y14" s="54">
        <v>0.92</v>
      </c>
      <c r="Z14"/>
      <c r="AA14" s="54">
        <v>0.92</v>
      </c>
      <c r="AB14" s="18"/>
      <c r="AC14" s="18"/>
      <c r="AD14" s="42"/>
      <c r="AE14" s="18"/>
      <c r="AF14" s="18"/>
      <c r="AG14" s="18"/>
    </row>
    <row r="15" spans="1:33" ht="14.4" x14ac:dyDescent="0.3">
      <c r="A15" s="23">
        <f t="shared" si="0"/>
        <v>0</v>
      </c>
      <c r="B15" s="24">
        <v>0</v>
      </c>
      <c r="C15" s="25">
        <v>13</v>
      </c>
      <c r="D15" s="6" t="s">
        <v>1</v>
      </c>
      <c r="E15" s="26">
        <v>0</v>
      </c>
      <c r="F15" s="26">
        <v>0</v>
      </c>
      <c r="G15" s="27">
        <f>E15+F15</f>
        <v>0</v>
      </c>
      <c r="H15" s="26">
        <f>G15-I15</f>
        <v>0</v>
      </c>
      <c r="I15" s="27">
        <v>0</v>
      </c>
      <c r="J15" s="28">
        <f>I15/I17*100</f>
        <v>0</v>
      </c>
      <c r="K15" s="29">
        <f>J15*L15</f>
        <v>0</v>
      </c>
      <c r="L15" s="55">
        <v>0.98</v>
      </c>
      <c r="M15" s="6"/>
      <c r="N15" s="6"/>
      <c r="O15" s="6"/>
      <c r="P15" s="30"/>
      <c r="Q15" s="6"/>
      <c r="R15" s="29"/>
      <c r="S15" s="31"/>
      <c r="T15" s="32"/>
      <c r="U15" s="24"/>
      <c r="V15" s="38"/>
      <c r="W15" s="54"/>
      <c r="X15"/>
      <c r="Y15" s="54"/>
      <c r="Z15"/>
      <c r="AA15" s="54"/>
      <c r="AB15" s="18"/>
      <c r="AC15" s="18"/>
      <c r="AD15" s="42"/>
      <c r="AE15" s="18"/>
      <c r="AF15" s="18"/>
      <c r="AG15" s="18"/>
    </row>
    <row r="16" spans="1:33" ht="14.4" x14ac:dyDescent="0.3">
      <c r="A16" s="23">
        <f>+B16-H16</f>
        <v>-7.39</v>
      </c>
      <c r="B16" s="24">
        <v>0</v>
      </c>
      <c r="C16" s="25">
        <v>14</v>
      </c>
      <c r="D16" s="6" t="s">
        <v>66</v>
      </c>
      <c r="E16" s="26">
        <v>7.39</v>
      </c>
      <c r="F16" s="26">
        <v>0</v>
      </c>
      <c r="G16" s="27">
        <f t="shared" si="4"/>
        <v>7.39</v>
      </c>
      <c r="H16" s="26">
        <f t="shared" si="1"/>
        <v>7.39</v>
      </c>
      <c r="I16" s="27">
        <v>0</v>
      </c>
      <c r="J16" s="28">
        <f>I16/I17*100</f>
        <v>0</v>
      </c>
      <c r="K16" s="29">
        <f>+J16*L16%</f>
        <v>0</v>
      </c>
      <c r="L16" s="6">
        <v>94</v>
      </c>
      <c r="M16" s="8" t="s">
        <v>67</v>
      </c>
      <c r="N16" s="6" t="s">
        <v>68</v>
      </c>
      <c r="O16" s="36" t="s">
        <v>69</v>
      </c>
      <c r="P16" s="6"/>
      <c r="Q16" s="6"/>
      <c r="R16" s="29"/>
      <c r="S16" s="31">
        <v>7</v>
      </c>
      <c r="T16" s="32" t="s">
        <v>65</v>
      </c>
      <c r="U16" s="56">
        <v>0.9</v>
      </c>
      <c r="V16" s="57" t="s">
        <v>70</v>
      </c>
      <c r="W16" s="58">
        <f>(W13*W14)/(W11-W10)</f>
        <v>14.577625202350729</v>
      </c>
      <c r="X16"/>
      <c r="Y16" s="58">
        <f>(Y13*Y14)/(Y11-Y10)</f>
        <v>15.577592372342297</v>
      </c>
      <c r="Z16"/>
      <c r="AA16" s="58">
        <f>(AA13*AA14)/(AA11-AA10)</f>
        <v>17.017754994392352</v>
      </c>
      <c r="AB16" s="18"/>
      <c r="AC16" s="18"/>
      <c r="AD16" s="42"/>
      <c r="AE16" s="18"/>
      <c r="AF16" s="18"/>
      <c r="AG16" s="18"/>
    </row>
    <row r="17" spans="1:33" ht="14.4" x14ac:dyDescent="0.3">
      <c r="A17" s="59">
        <f>+B17-H17</f>
        <v>68.266000000000531</v>
      </c>
      <c r="B17" s="6">
        <f>SUM(B3:B14)+B16</f>
        <v>2421</v>
      </c>
      <c r="C17" s="8"/>
      <c r="D17" s="6" t="s">
        <v>10</v>
      </c>
      <c r="E17" s="26">
        <f>SUM(E3:E16)</f>
        <v>2253.9639999999995</v>
      </c>
      <c r="F17" s="27">
        <f>SUM(F3:F16)</f>
        <v>580.8599999999999</v>
      </c>
      <c r="G17" s="27">
        <f>E17+F17</f>
        <v>2834.8239999999996</v>
      </c>
      <c r="H17" s="26">
        <f>SUM(H3:H16)</f>
        <v>2352.7339999999995</v>
      </c>
      <c r="I17" s="27">
        <f>SUM(I3:I16)</f>
        <v>472</v>
      </c>
      <c r="J17" s="28">
        <f>SUM(J3:J16)</f>
        <v>100</v>
      </c>
      <c r="K17" s="29">
        <f>SUM(K3:K16)</f>
        <v>85.541800847457637</v>
      </c>
      <c r="L17" s="6"/>
      <c r="M17" s="30">
        <f>+O2/I17*100</f>
        <v>85.755084745762716</v>
      </c>
      <c r="N17" s="60">
        <f>+K17</f>
        <v>85.541800847457637</v>
      </c>
      <c r="O17" s="27">
        <f>+M17-N17</f>
        <v>0.21328389830507888</v>
      </c>
      <c r="P17" s="36">
        <f>1036+27</f>
        <v>1063</v>
      </c>
      <c r="Q17" s="6">
        <f>SUM(Q3:Q16)</f>
        <v>100</v>
      </c>
      <c r="R17" s="29">
        <f t="shared" si="3"/>
        <v>0</v>
      </c>
      <c r="S17" s="31">
        <v>8</v>
      </c>
      <c r="T17" s="32" t="s">
        <v>70</v>
      </c>
      <c r="U17" s="61">
        <f>(U14*U16)/(U12-U11)</f>
        <v>17.138461923036633</v>
      </c>
      <c r="V17" s="38" t="s">
        <v>71</v>
      </c>
      <c r="W17" s="50">
        <v>34</v>
      </c>
      <c r="X17"/>
      <c r="Y17" s="50">
        <v>34</v>
      </c>
      <c r="Z17"/>
      <c r="AA17" s="50">
        <v>34</v>
      </c>
      <c r="AB17" s="18"/>
      <c r="AC17" s="18"/>
      <c r="AD17" s="18"/>
      <c r="AE17" s="18"/>
      <c r="AF17" s="18"/>
      <c r="AG17" s="18"/>
    </row>
    <row r="18" spans="1:33" ht="14.4" x14ac:dyDescent="0.3">
      <c r="A18" s="62"/>
      <c r="B18" s="63">
        <f>+H17-B17</f>
        <v>-68.266000000000531</v>
      </c>
      <c r="C18" s="8"/>
      <c r="D18" s="6"/>
      <c r="E18" s="26"/>
      <c r="F18" s="27"/>
      <c r="G18" s="27"/>
      <c r="H18" s="26"/>
      <c r="I18" s="27"/>
      <c r="J18" s="28" t="s">
        <v>72</v>
      </c>
      <c r="K18" s="64">
        <f>P2/M3</f>
        <v>1.3884634008953366E-2</v>
      </c>
      <c r="L18" s="6"/>
      <c r="M18" s="30"/>
      <c r="N18" s="60"/>
      <c r="O18" s="27"/>
      <c r="P18" s="36">
        <f>+P17-P19</f>
        <v>19.90099999999984</v>
      </c>
      <c r="Q18" s="6"/>
      <c r="R18" s="29"/>
      <c r="S18" s="31"/>
      <c r="T18" s="32"/>
      <c r="U18" s="61"/>
      <c r="V18" s="38"/>
      <c r="W18" s="50"/>
      <c r="X18"/>
      <c r="Y18" s="50"/>
      <c r="Z18"/>
      <c r="AA18" s="50"/>
      <c r="AB18" s="18"/>
      <c r="AC18" s="18"/>
      <c r="AD18" s="18"/>
      <c r="AE18" s="18"/>
      <c r="AF18" s="18"/>
      <c r="AG18" s="18"/>
    </row>
    <row r="19" spans="1:33" ht="23.4" x14ac:dyDescent="0.45">
      <c r="A19" s="6">
        <f>B3+B4+B5+B13</f>
        <v>921</v>
      </c>
      <c r="B19" s="6">
        <f>B12+B14+B16</f>
        <v>1053</v>
      </c>
      <c r="C19" s="8"/>
      <c r="D19" s="6" t="s">
        <v>73</v>
      </c>
      <c r="E19" s="27">
        <v>0</v>
      </c>
      <c r="F19" s="27">
        <v>0</v>
      </c>
      <c r="G19" s="27">
        <f>+E19+F19</f>
        <v>0</v>
      </c>
      <c r="H19" s="27">
        <f>G19-I19</f>
        <v>0</v>
      </c>
      <c r="I19" s="27">
        <f>F19</f>
        <v>0</v>
      </c>
      <c r="J19" s="65"/>
      <c r="K19" s="29"/>
      <c r="L19" s="6" t="s">
        <v>74</v>
      </c>
      <c r="M19" s="25" t="s">
        <v>75</v>
      </c>
      <c r="N19" s="66">
        <f>H3+H4+H5+H13+H10</f>
        <v>918.04000000000008</v>
      </c>
      <c r="O19" s="65" t="s">
        <v>76</v>
      </c>
      <c r="P19" s="67">
        <f>H12+H14+H16</f>
        <v>1043.0990000000002</v>
      </c>
      <c r="Q19" s="27">
        <f>+P19+N19</f>
        <v>1961.1390000000001</v>
      </c>
      <c r="R19" s="68"/>
      <c r="S19" s="31">
        <v>9</v>
      </c>
      <c r="T19" s="32" t="s">
        <v>71</v>
      </c>
      <c r="U19" s="24">
        <v>34</v>
      </c>
      <c r="V19" s="38" t="s">
        <v>77</v>
      </c>
      <c r="W19" s="69">
        <f>W17*60/W16</f>
        <v>139.94048904968676</v>
      </c>
      <c r="X19"/>
      <c r="Y19" s="69">
        <f>Y17*60/Y16</f>
        <v>130.95733610426083</v>
      </c>
      <c r="Z19"/>
      <c r="AA19" s="69">
        <f>AA17*60/AA16</f>
        <v>119.87480138668207</v>
      </c>
      <c r="AB19" s="18"/>
      <c r="AC19" s="18"/>
      <c r="AD19" s="18"/>
      <c r="AE19" s="18"/>
      <c r="AF19" s="18"/>
      <c r="AG19" s="18"/>
    </row>
    <row r="20" spans="1:33" ht="14.4" x14ac:dyDescent="0.3">
      <c r="A20" s="63">
        <f>A19-N19</f>
        <v>2.9599999999999227</v>
      </c>
      <c r="B20" s="70">
        <f>B19-P19</f>
        <v>9.9009999999998399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31">
        <v>10</v>
      </c>
      <c r="T20" s="32" t="s">
        <v>77</v>
      </c>
      <c r="U20" s="71">
        <f>U19*60/U17</f>
        <v>119.03051797535797</v>
      </c>
      <c r="V20" s="57" t="s">
        <v>78</v>
      </c>
      <c r="W20" s="72">
        <v>5</v>
      </c>
      <c r="X20"/>
      <c r="Y20" s="72">
        <v>12</v>
      </c>
      <c r="Z20"/>
      <c r="AA20" s="72">
        <v>15</v>
      </c>
      <c r="AB20" s="18"/>
      <c r="AC20" s="18"/>
      <c r="AD20" s="18"/>
      <c r="AE20" s="18"/>
      <c r="AF20" s="18"/>
      <c r="AG20" s="18"/>
    </row>
    <row r="21" spans="1:33" ht="42" x14ac:dyDescent="0.3">
      <c r="A21" s="73"/>
      <c r="B21" s="74"/>
      <c r="C21" s="74"/>
      <c r="H21" s="2"/>
      <c r="S21" s="8">
        <v>11</v>
      </c>
      <c r="T21" s="32" t="s">
        <v>78</v>
      </c>
      <c r="U21" s="75">
        <v>6</v>
      </c>
      <c r="V21" s="57" t="s">
        <v>79</v>
      </c>
      <c r="W21" s="72">
        <f>W20+W19</f>
        <v>144.94048904968676</v>
      </c>
      <c r="X21"/>
      <c r="Y21" s="72">
        <f>Y20+Y19</f>
        <v>142.95733610426083</v>
      </c>
      <c r="Z21"/>
      <c r="AA21" s="72">
        <f>AA20+AA19</f>
        <v>134.87480138668207</v>
      </c>
      <c r="AB21" s="18"/>
      <c r="AC21" s="18"/>
      <c r="AD21" s="18"/>
      <c r="AE21" s="18"/>
      <c r="AF21" s="18"/>
      <c r="AG21" s="18"/>
    </row>
    <row r="22" spans="1:33" s="82" customFormat="1" ht="14.4" x14ac:dyDescent="0.3">
      <c r="A22" s="76"/>
      <c r="B22" s="77">
        <f>A12+A16</f>
        <v>9.8509999999999849</v>
      </c>
      <c r="C22" s="78"/>
      <c r="D22" s="2"/>
      <c r="E22" s="79">
        <f>H12+H14+H16</f>
        <v>1043.0990000000002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6">
        <v>12</v>
      </c>
      <c r="T22" s="32" t="s">
        <v>79</v>
      </c>
      <c r="U22" s="71">
        <f>U21+U20</f>
        <v>125.03051797535797</v>
      </c>
      <c r="V22" s="38" t="s">
        <v>80</v>
      </c>
      <c r="W22" s="80">
        <f>24*60/W21</f>
        <v>9.9351120548955549</v>
      </c>
      <c r="X22"/>
      <c r="Y22" s="80">
        <f>24*60/Y21</f>
        <v>10.072935319316439</v>
      </c>
      <c r="Z22"/>
      <c r="AA22" s="80">
        <f>24*60/AA21</f>
        <v>10.676568085327983</v>
      </c>
      <c r="AB22" s="81"/>
      <c r="AC22" s="81"/>
      <c r="AD22" s="81"/>
      <c r="AE22" s="81"/>
      <c r="AF22" s="81"/>
      <c r="AG22" s="81"/>
    </row>
    <row r="23" spans="1:33" ht="14.4" x14ac:dyDescent="0.3">
      <c r="A23" s="83"/>
      <c r="B23" s="84"/>
      <c r="C23" s="84"/>
      <c r="E23" s="2">
        <f>B12+B14+B16</f>
        <v>1053</v>
      </c>
      <c r="H23" s="2"/>
      <c r="S23" s="6">
        <v>13</v>
      </c>
      <c r="T23" s="32" t="s">
        <v>80</v>
      </c>
      <c r="U23" s="85">
        <f>24*60/U22</f>
        <v>11.51718814988679</v>
      </c>
      <c r="V23" s="57" t="s">
        <v>81</v>
      </c>
      <c r="W23" s="86">
        <f>W22*W17</f>
        <v>337.7938098664489</v>
      </c>
      <c r="X23"/>
      <c r="Y23" s="86">
        <f>Y22*Y17</f>
        <v>342.47980085675891</v>
      </c>
      <c r="Z23"/>
      <c r="AA23" s="86">
        <f>AA22*AA17</f>
        <v>363.00331490115138</v>
      </c>
      <c r="AB23" s="18"/>
      <c r="AC23" s="18"/>
      <c r="AD23" s="18"/>
      <c r="AE23" s="18"/>
      <c r="AF23" s="18"/>
      <c r="AG23" s="18"/>
    </row>
    <row r="24" spans="1:33" ht="15" thickBot="1" x14ac:dyDescent="0.35">
      <c r="A24" s="73"/>
      <c r="B24" s="74"/>
      <c r="C24" s="87"/>
      <c r="E24" s="79">
        <f>E23-E22</f>
        <v>9.9009999999998399</v>
      </c>
      <c r="H24" s="2"/>
      <c r="S24" s="6">
        <v>14</v>
      </c>
      <c r="T24" s="88" t="s">
        <v>81</v>
      </c>
      <c r="U24" s="89">
        <f>U23*U19</f>
        <v>391.58439709615084</v>
      </c>
      <c r="V24" s="57" t="s">
        <v>82</v>
      </c>
      <c r="W24" s="3">
        <v>65</v>
      </c>
      <c r="X24"/>
      <c r="Y24" s="90">
        <f>+W23*W24/Y23</f>
        <v>64.110635390442937</v>
      </c>
      <c r="Z24" s="91"/>
      <c r="AA24" s="90">
        <f>+Y23*Y24/AA23</f>
        <v>60.485942524514222</v>
      </c>
      <c r="AB24" s="18"/>
      <c r="AC24" s="18"/>
      <c r="AD24" s="18"/>
      <c r="AE24" s="18"/>
      <c r="AF24" s="18"/>
      <c r="AG24" s="18"/>
    </row>
    <row r="25" spans="1:33" ht="13.8" x14ac:dyDescent="0.3">
      <c r="A25" s="83"/>
      <c r="B25" s="92"/>
      <c r="C25" s="87"/>
      <c r="H25" s="2"/>
      <c r="S25" s="18"/>
      <c r="T25" s="93"/>
      <c r="U25" s="94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1:33" ht="13.8" x14ac:dyDescent="0.3">
      <c r="A26" s="83"/>
      <c r="B26" s="95"/>
      <c r="C26" s="87"/>
      <c r="H26" s="2"/>
      <c r="S26" s="18"/>
      <c r="T26" s="81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 x14ac:dyDescent="0.2">
      <c r="C27" s="81"/>
      <c r="S27" s="18"/>
      <c r="T27" s="81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 x14ac:dyDescent="0.2">
      <c r="C28" s="81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</sheetData>
  <mergeCells count="3">
    <mergeCell ref="A1:N1"/>
    <mergeCell ref="T1:U1"/>
    <mergeCell ref="C20:R2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4CF7F-A237-4E14-B121-5C34C2BB3851}">
  <dimension ref="A1:AG28"/>
  <sheetViews>
    <sheetView zoomScale="165" zoomScaleNormal="165" workbookViewId="0">
      <selection activeCell="G11" sqref="G11"/>
    </sheetView>
  </sheetViews>
  <sheetFormatPr defaultColWidth="9.109375" defaultRowHeight="10.199999999999999" x14ac:dyDescent="0.2"/>
  <cols>
    <col min="1" max="1" width="14.109375" style="2" bestFit="1" customWidth="1"/>
    <col min="2" max="2" width="7.88671875" style="2" bestFit="1" customWidth="1"/>
    <col min="3" max="3" width="8.44140625" style="82" bestFit="1" customWidth="1"/>
    <col min="4" max="4" width="17.5546875" style="2" bestFit="1" customWidth="1"/>
    <col min="5" max="5" width="10.88671875" style="2" bestFit="1" customWidth="1"/>
    <col min="6" max="6" width="7.33203125" style="2" bestFit="1" customWidth="1"/>
    <col min="7" max="7" width="9.109375" style="2"/>
    <col min="8" max="8" width="10" style="82" customWidth="1"/>
    <col min="9" max="9" width="9.5546875" style="2" bestFit="1" customWidth="1"/>
    <col min="10" max="10" width="10.44140625" style="2" bestFit="1" customWidth="1"/>
    <col min="11" max="11" width="12" style="2" customWidth="1"/>
    <col min="12" max="12" width="10.109375" style="2" bestFit="1" customWidth="1"/>
    <col min="13" max="13" width="10.5546875" style="2" bestFit="1" customWidth="1"/>
    <col min="14" max="14" width="15" style="2" customWidth="1"/>
    <col min="15" max="15" width="12.109375" style="2" customWidth="1"/>
    <col min="16" max="16" width="15.33203125" style="2" customWidth="1"/>
    <col min="17" max="17" width="7.44140625" style="2" bestFit="1" customWidth="1"/>
    <col min="18" max="18" width="7.6640625" style="2" customWidth="1"/>
    <col min="19" max="19" width="5.33203125" style="2" bestFit="1" customWidth="1"/>
    <col min="20" max="20" width="27.5546875" style="82" customWidth="1"/>
    <col min="21" max="21" width="11.44140625" style="2" bestFit="1" customWidth="1"/>
    <col min="22" max="22" width="30.88671875" style="2" customWidth="1"/>
    <col min="23" max="23" width="11.44140625" style="2" bestFit="1" customWidth="1"/>
    <col min="24" max="24" width="6.109375" style="2" bestFit="1" customWidth="1"/>
    <col min="25" max="25" width="11.44140625" style="2" bestFit="1" customWidth="1"/>
    <col min="26" max="26" width="5.44140625" style="2" bestFit="1" customWidth="1"/>
    <col min="27" max="27" width="11.44140625" style="2" bestFit="1" customWidth="1"/>
    <col min="28" max="28" width="6.6640625" style="2" bestFit="1" customWidth="1"/>
    <col min="29" max="29" width="5.5546875" style="2" bestFit="1" customWidth="1"/>
    <col min="30" max="30" width="7" style="2" bestFit="1" customWidth="1"/>
    <col min="31" max="31" width="4.44140625" style="2" bestFit="1" customWidth="1"/>
    <col min="32" max="16384" width="9.109375" style="2"/>
  </cols>
  <sheetData>
    <row r="1" spans="1:33" ht="15" thickBot="1" x14ac:dyDescent="0.35">
      <c r="A1" s="96" t="s">
        <v>97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1" t="s">
        <v>0</v>
      </c>
      <c r="P1" s="1" t="s">
        <v>1</v>
      </c>
      <c r="Q1" s="1"/>
      <c r="R1" s="1"/>
      <c r="T1" s="97" t="s">
        <v>2</v>
      </c>
      <c r="U1" s="98"/>
      <c r="V1" s="3" t="s">
        <v>3</v>
      </c>
      <c r="W1" s="4">
        <v>0.5</v>
      </c>
      <c r="X1"/>
      <c r="Y1" s="5">
        <v>0.4</v>
      </c>
      <c r="Z1"/>
      <c r="AA1" s="5">
        <v>0.3</v>
      </c>
    </row>
    <row r="2" spans="1:33" ht="14.4" x14ac:dyDescent="0.3">
      <c r="A2" s="6" t="s">
        <v>4</v>
      </c>
      <c r="B2" s="7" t="s">
        <v>5</v>
      </c>
      <c r="C2" s="8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8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9" t="s">
        <v>17</v>
      </c>
      <c r="O2" s="10">
        <v>407.77600000000001</v>
      </c>
      <c r="P2" s="11">
        <v>4.9800000000000004</v>
      </c>
      <c r="Q2" s="6" t="s">
        <v>18</v>
      </c>
      <c r="R2" s="6" t="s">
        <v>19</v>
      </c>
      <c r="S2" s="12" t="s">
        <v>20</v>
      </c>
      <c r="T2" s="13" t="s">
        <v>21</v>
      </c>
      <c r="U2" s="14" t="s">
        <v>22</v>
      </c>
      <c r="V2" s="15" t="s">
        <v>21</v>
      </c>
      <c r="W2" s="16" t="s">
        <v>22</v>
      </c>
      <c r="X2"/>
      <c r="Y2" s="17" t="s">
        <v>22</v>
      </c>
      <c r="Z2"/>
      <c r="AA2" s="17" t="s">
        <v>22</v>
      </c>
      <c r="AB2" s="18"/>
      <c r="AC2" s="18"/>
      <c r="AD2" s="19"/>
      <c r="AE2" s="20"/>
      <c r="AF2" s="21"/>
      <c r="AG2" s="22"/>
    </row>
    <row r="3" spans="1:33" ht="14.4" x14ac:dyDescent="0.3">
      <c r="A3" s="23">
        <f>+B3-H3</f>
        <v>26.519999999999982</v>
      </c>
      <c r="B3" s="24">
        <v>456</v>
      </c>
      <c r="C3" s="25">
        <v>1</v>
      </c>
      <c r="D3" s="6" t="s">
        <v>23</v>
      </c>
      <c r="E3" s="26">
        <v>465.19</v>
      </c>
      <c r="F3" s="26">
        <v>40.29</v>
      </c>
      <c r="G3" s="27">
        <f>E3+F3</f>
        <v>505.48</v>
      </c>
      <c r="H3" s="26">
        <f>G3-I3</f>
        <v>429.48</v>
      </c>
      <c r="I3" s="27">
        <v>76</v>
      </c>
      <c r="J3" s="28">
        <f>I3/I17*100</f>
        <v>16.033755274261605</v>
      </c>
      <c r="K3" s="29">
        <f>+J3*L3%</f>
        <v>12.852658227848101</v>
      </c>
      <c r="L3" s="30">
        <v>80.16</v>
      </c>
      <c r="M3" s="27">
        <f>O2</f>
        <v>407.77600000000001</v>
      </c>
      <c r="N3" s="28">
        <f>U24</f>
        <v>393.59118520130494</v>
      </c>
      <c r="O3" s="30" t="s">
        <v>24</v>
      </c>
      <c r="P3" s="27" t="s">
        <v>25</v>
      </c>
      <c r="Q3" s="6">
        <v>16</v>
      </c>
      <c r="R3" s="29">
        <f>Q3-J3</f>
        <v>-3.375527426160474E-2</v>
      </c>
      <c r="S3" s="31"/>
      <c r="T3" s="32" t="s">
        <v>26</v>
      </c>
      <c r="U3" s="24">
        <v>30</v>
      </c>
      <c r="V3" s="33" t="s">
        <v>26</v>
      </c>
      <c r="W3" s="34">
        <v>30</v>
      </c>
      <c r="X3"/>
      <c r="Y3" s="34">
        <v>30</v>
      </c>
      <c r="Z3"/>
      <c r="AA3" s="34">
        <v>30</v>
      </c>
      <c r="AB3" s="18"/>
      <c r="AC3" s="18"/>
      <c r="AD3" s="18"/>
      <c r="AE3" s="35"/>
      <c r="AF3" s="18"/>
      <c r="AG3" s="18"/>
    </row>
    <row r="4" spans="1:33" ht="14.4" x14ac:dyDescent="0.3">
      <c r="A4" s="23">
        <f t="shared" ref="A4:A15" si="0">+B4-H4</f>
        <v>-51.53000000000003</v>
      </c>
      <c r="B4" s="24">
        <v>245</v>
      </c>
      <c r="C4" s="25">
        <v>2</v>
      </c>
      <c r="D4" s="6" t="s">
        <v>27</v>
      </c>
      <c r="E4" s="26">
        <v>296.22000000000003</v>
      </c>
      <c r="F4" s="26">
        <v>60.31</v>
      </c>
      <c r="G4" s="27">
        <f>E4+F4</f>
        <v>356.53000000000003</v>
      </c>
      <c r="H4" s="26">
        <f t="shared" ref="H4:H16" si="1">G4-I4</f>
        <v>296.53000000000003</v>
      </c>
      <c r="I4" s="27">
        <v>60</v>
      </c>
      <c r="J4" s="28">
        <f>I4/I17*100</f>
        <v>12.658227848101266</v>
      </c>
      <c r="K4" s="29">
        <f t="shared" ref="K4:K13" si="2">+J4*L4%</f>
        <v>9.4949367088607612</v>
      </c>
      <c r="L4" s="30">
        <v>75.010000000000005</v>
      </c>
      <c r="M4" s="6" t="s">
        <v>28</v>
      </c>
      <c r="N4" s="6" t="s">
        <v>29</v>
      </c>
      <c r="O4" s="36">
        <v>267725</v>
      </c>
      <c r="P4" s="36">
        <v>25475</v>
      </c>
      <c r="Q4" s="6">
        <v>13</v>
      </c>
      <c r="R4" s="29">
        <f t="shared" ref="R4:R17" si="3">Q4-J4</f>
        <v>0.34177215189873422</v>
      </c>
      <c r="S4" s="31">
        <v>1</v>
      </c>
      <c r="T4" s="32" t="s">
        <v>30</v>
      </c>
      <c r="U4" s="37">
        <f>M17</f>
        <v>86.028691983122357</v>
      </c>
      <c r="V4" s="38" t="s">
        <v>30</v>
      </c>
      <c r="W4" s="39">
        <v>86.44</v>
      </c>
      <c r="X4"/>
      <c r="Y4" s="39">
        <f>U4</f>
        <v>86.028691983122357</v>
      </c>
      <c r="Z4"/>
      <c r="AA4" s="39">
        <v>84.28</v>
      </c>
      <c r="AB4" s="18"/>
      <c r="AC4" s="18"/>
      <c r="AD4" s="18"/>
      <c r="AE4" s="18"/>
      <c r="AF4" s="18"/>
      <c r="AG4" s="18"/>
    </row>
    <row r="5" spans="1:33" ht="14.4" x14ac:dyDescent="0.3">
      <c r="A5" s="23">
        <f t="shared" si="0"/>
        <v>19.019999999999982</v>
      </c>
      <c r="B5" s="24">
        <v>223</v>
      </c>
      <c r="C5" s="25">
        <v>3</v>
      </c>
      <c r="D5" s="6" t="s">
        <v>31</v>
      </c>
      <c r="E5" s="26">
        <v>122.78</v>
      </c>
      <c r="F5" s="26">
        <v>163.19999999999999</v>
      </c>
      <c r="G5" s="27">
        <f>E5+F5</f>
        <v>285.98</v>
      </c>
      <c r="H5" s="26">
        <f t="shared" si="1"/>
        <v>203.98000000000002</v>
      </c>
      <c r="I5" s="27">
        <v>82</v>
      </c>
      <c r="J5" s="28">
        <f>I5/I17*100</f>
        <v>17.299578059071731</v>
      </c>
      <c r="K5" s="29">
        <f t="shared" si="2"/>
        <v>13.656286919831224</v>
      </c>
      <c r="L5" s="30">
        <v>78.94</v>
      </c>
      <c r="M5" s="36">
        <f>O4/O2</f>
        <v>656.54918386565168</v>
      </c>
      <c r="N5" s="36">
        <f>+U12</f>
        <v>656.74443385977463</v>
      </c>
      <c r="O5" s="36">
        <f>+N5-M5</f>
        <v>0.19524999412294619</v>
      </c>
      <c r="P5" s="36">
        <f>+P4/O2</f>
        <v>62.473024405555989</v>
      </c>
      <c r="Q5" s="6">
        <v>18</v>
      </c>
      <c r="R5" s="29">
        <f t="shared" si="3"/>
        <v>0.70042194092826904</v>
      </c>
      <c r="S5" s="31"/>
      <c r="T5" s="32" t="s">
        <v>32</v>
      </c>
      <c r="U5" s="40" t="s">
        <v>33</v>
      </c>
      <c r="V5" s="38" t="s">
        <v>32</v>
      </c>
      <c r="W5" s="41" t="s">
        <v>33</v>
      </c>
      <c r="X5"/>
      <c r="Y5" s="41" t="s">
        <v>33</v>
      </c>
      <c r="Z5"/>
      <c r="AA5" s="41" t="s">
        <v>33</v>
      </c>
      <c r="AB5" s="18"/>
      <c r="AC5" s="18"/>
      <c r="AD5" s="42"/>
      <c r="AE5" s="18"/>
      <c r="AF5" s="18"/>
      <c r="AG5" s="18"/>
    </row>
    <row r="6" spans="1:33" ht="14.4" x14ac:dyDescent="0.3">
      <c r="A6" s="23">
        <f t="shared" si="0"/>
        <v>20.54000000000002</v>
      </c>
      <c r="B6" s="24">
        <v>325</v>
      </c>
      <c r="C6" s="25">
        <v>4</v>
      </c>
      <c r="D6" s="6" t="s">
        <v>34</v>
      </c>
      <c r="E6" s="26">
        <v>304.45999999999998</v>
      </c>
      <c r="F6" s="26">
        <v>0</v>
      </c>
      <c r="G6" s="27">
        <f t="shared" ref="G6:G16" si="4">E6+F6</f>
        <v>304.45999999999998</v>
      </c>
      <c r="H6" s="26">
        <f>G6-I6</f>
        <v>304.45999999999998</v>
      </c>
      <c r="I6" s="27">
        <v>0</v>
      </c>
      <c r="J6" s="28">
        <f>I6/I17*100</f>
        <v>0</v>
      </c>
      <c r="K6" s="29">
        <f t="shared" si="2"/>
        <v>0</v>
      </c>
      <c r="L6" s="6">
        <v>94</v>
      </c>
      <c r="M6" s="6" t="s">
        <v>35</v>
      </c>
      <c r="N6" s="6"/>
      <c r="O6" s="6" t="s">
        <v>36</v>
      </c>
      <c r="P6" s="6">
        <v>3706</v>
      </c>
      <c r="Q6" s="6">
        <v>0</v>
      </c>
      <c r="R6" s="29">
        <f t="shared" si="3"/>
        <v>0</v>
      </c>
      <c r="S6" s="31"/>
      <c r="T6" s="32" t="s">
        <v>37</v>
      </c>
      <c r="U6" s="40" t="s">
        <v>38</v>
      </c>
      <c r="V6" s="38" t="s">
        <v>37</v>
      </c>
      <c r="W6" s="41" t="s">
        <v>39</v>
      </c>
      <c r="X6"/>
      <c r="Y6" s="41" t="s">
        <v>39</v>
      </c>
      <c r="Z6"/>
      <c r="AA6" s="41" t="s">
        <v>39</v>
      </c>
      <c r="AB6" s="43"/>
      <c r="AC6" s="44"/>
      <c r="AD6" s="44"/>
      <c r="AE6" s="44"/>
      <c r="AF6" s="18"/>
      <c r="AG6" s="18"/>
    </row>
    <row r="7" spans="1:33" ht="14.4" x14ac:dyDescent="0.3">
      <c r="A7" s="23">
        <v>0</v>
      </c>
      <c r="B7" s="24">
        <v>0</v>
      </c>
      <c r="C7" s="25">
        <v>5</v>
      </c>
      <c r="D7" s="6" t="s">
        <v>40</v>
      </c>
      <c r="E7" s="26">
        <v>0</v>
      </c>
      <c r="F7" s="26">
        <v>0</v>
      </c>
      <c r="G7" s="27">
        <f t="shared" si="4"/>
        <v>0</v>
      </c>
      <c r="H7" s="26">
        <f t="shared" si="1"/>
        <v>0</v>
      </c>
      <c r="I7" s="27">
        <v>0</v>
      </c>
      <c r="J7" s="28">
        <f>I7/I17*100</f>
        <v>0</v>
      </c>
      <c r="K7" s="29">
        <f t="shared" si="2"/>
        <v>0</v>
      </c>
      <c r="L7" s="6">
        <v>88</v>
      </c>
      <c r="M7" s="36">
        <f>+P5+P8</f>
        <v>71.561347406419202</v>
      </c>
      <c r="N7" s="36">
        <v>67</v>
      </c>
      <c r="O7" s="36">
        <f>+N7-M7</f>
        <v>-4.5613474064192019</v>
      </c>
      <c r="P7" s="36"/>
      <c r="Q7" s="6">
        <v>0</v>
      </c>
      <c r="R7" s="29">
        <f t="shared" si="3"/>
        <v>0</v>
      </c>
      <c r="S7" s="31">
        <v>2</v>
      </c>
      <c r="T7" s="32" t="s">
        <v>41</v>
      </c>
      <c r="U7" s="40">
        <v>455</v>
      </c>
      <c r="V7" s="38" t="s">
        <v>41</v>
      </c>
      <c r="W7" s="41">
        <v>465</v>
      </c>
      <c r="X7"/>
      <c r="Y7" s="41">
        <v>455</v>
      </c>
      <c r="Z7"/>
      <c r="AA7" s="41">
        <v>455</v>
      </c>
      <c r="AB7" s="18"/>
      <c r="AC7" s="18"/>
      <c r="AD7" s="42"/>
      <c r="AE7" s="18"/>
      <c r="AF7" s="18"/>
      <c r="AG7" s="18"/>
    </row>
    <row r="8" spans="1:33" ht="14.4" x14ac:dyDescent="0.3">
      <c r="A8" s="23">
        <f t="shared" si="0"/>
        <v>20.064999999999998</v>
      </c>
      <c r="B8" s="24">
        <v>114</v>
      </c>
      <c r="C8" s="25">
        <v>6</v>
      </c>
      <c r="D8" s="6" t="s">
        <v>42</v>
      </c>
      <c r="E8" s="26">
        <v>87.135000000000005</v>
      </c>
      <c r="F8" s="26">
        <v>6.8</v>
      </c>
      <c r="G8" s="27">
        <f t="shared" si="4"/>
        <v>93.935000000000002</v>
      </c>
      <c r="H8" s="26">
        <f t="shared" si="1"/>
        <v>93.935000000000002</v>
      </c>
      <c r="I8" s="27">
        <v>0</v>
      </c>
      <c r="J8" s="28">
        <f>I8/I17*100</f>
        <v>0</v>
      </c>
      <c r="K8" s="29">
        <f t="shared" si="2"/>
        <v>0</v>
      </c>
      <c r="L8" s="6">
        <v>90</v>
      </c>
      <c r="M8" s="30" t="s">
        <v>43</v>
      </c>
      <c r="N8" s="30" t="s">
        <v>44</v>
      </c>
      <c r="O8" s="6" t="s">
        <v>45</v>
      </c>
      <c r="P8" s="36">
        <f>+P6/O2</f>
        <v>9.0883230008632196</v>
      </c>
      <c r="Q8" s="6">
        <v>0</v>
      </c>
      <c r="R8" s="29">
        <f t="shared" si="3"/>
        <v>0</v>
      </c>
      <c r="S8" s="31"/>
      <c r="T8" s="32"/>
      <c r="U8" s="40"/>
      <c r="V8" s="38" t="s">
        <v>46</v>
      </c>
      <c r="W8" s="45">
        <f>((W7*(2-W4/100))/(W4/100))</f>
        <v>610.89079130032405</v>
      </c>
      <c r="X8"/>
      <c r="Y8" s="45">
        <f>((Y7*(2-Y4/100))/(Y4/100))</f>
        <v>602.78662795260163</v>
      </c>
      <c r="Z8"/>
      <c r="AA8" s="45">
        <f>((AA7*(2-AA4/100))/(AA4/100))</f>
        <v>624.73421926910294</v>
      </c>
      <c r="AB8" s="18"/>
      <c r="AC8" s="18"/>
      <c r="AD8" s="42"/>
      <c r="AE8" s="18"/>
      <c r="AF8" s="18"/>
      <c r="AG8" s="18"/>
    </row>
    <row r="9" spans="1:33" ht="14.4" x14ac:dyDescent="0.3">
      <c r="A9" s="23">
        <f t="shared" si="0"/>
        <v>0</v>
      </c>
      <c r="B9" s="24">
        <v>0</v>
      </c>
      <c r="C9" s="25">
        <v>7</v>
      </c>
      <c r="D9" s="6" t="s">
        <v>47</v>
      </c>
      <c r="E9" s="26">
        <v>0</v>
      </c>
      <c r="F9" s="26">
        <v>0</v>
      </c>
      <c r="G9" s="46">
        <f t="shared" si="4"/>
        <v>0</v>
      </c>
      <c r="H9" s="26">
        <f t="shared" si="1"/>
        <v>0</v>
      </c>
      <c r="I9" s="27">
        <v>0</v>
      </c>
      <c r="J9" s="28">
        <f>I9/I17*100</f>
        <v>0</v>
      </c>
      <c r="K9" s="29">
        <f t="shared" si="2"/>
        <v>0</v>
      </c>
      <c r="L9" s="6">
        <v>93</v>
      </c>
      <c r="M9" s="36">
        <f>+M5+M7</f>
        <v>728.11053127207083</v>
      </c>
      <c r="N9" s="36">
        <f>+N5+N7</f>
        <v>723.74443385977463</v>
      </c>
      <c r="O9" s="36">
        <f>+N9-M9</f>
        <v>-4.3660974122961989</v>
      </c>
      <c r="P9" s="36"/>
      <c r="Q9" s="6">
        <v>0</v>
      </c>
      <c r="R9" s="29">
        <f t="shared" si="3"/>
        <v>0</v>
      </c>
      <c r="S9" s="31" t="s">
        <v>48</v>
      </c>
      <c r="T9" s="32" t="s">
        <v>46</v>
      </c>
      <c r="U9" s="47">
        <f>((U7*(2-U4/100))/(U4/100))</f>
        <v>602.78662795260163</v>
      </c>
      <c r="V9" s="38" t="s">
        <v>49</v>
      </c>
      <c r="W9" s="45">
        <v>24</v>
      </c>
      <c r="X9"/>
      <c r="Y9" s="45">
        <v>24</v>
      </c>
      <c r="Z9"/>
      <c r="AA9" s="45">
        <v>24</v>
      </c>
      <c r="AB9" s="18"/>
      <c r="AC9" s="18"/>
      <c r="AD9" s="42"/>
      <c r="AE9" s="18"/>
      <c r="AF9" s="18"/>
      <c r="AG9" s="18"/>
    </row>
    <row r="10" spans="1:33" ht="14.4" x14ac:dyDescent="0.3">
      <c r="A10" s="23">
        <f t="shared" si="0"/>
        <v>0</v>
      </c>
      <c r="B10" s="24">
        <v>0</v>
      </c>
      <c r="C10" s="25">
        <v>8</v>
      </c>
      <c r="D10" s="6" t="s">
        <v>50</v>
      </c>
      <c r="E10" s="26">
        <v>0</v>
      </c>
      <c r="F10" s="26">
        <v>0</v>
      </c>
      <c r="G10" s="27">
        <f t="shared" si="4"/>
        <v>0</v>
      </c>
      <c r="H10" s="26">
        <f t="shared" si="1"/>
        <v>0</v>
      </c>
      <c r="I10" s="27">
        <v>0</v>
      </c>
      <c r="J10" s="28">
        <f>I10/I17*100</f>
        <v>0</v>
      </c>
      <c r="K10" s="29">
        <f t="shared" si="2"/>
        <v>0</v>
      </c>
      <c r="L10" s="6">
        <v>70</v>
      </c>
      <c r="M10" s="6"/>
      <c r="N10" s="6"/>
      <c r="O10" s="6"/>
      <c r="P10" s="6"/>
      <c r="Q10" s="6">
        <v>0</v>
      </c>
      <c r="R10" s="29">
        <f t="shared" si="3"/>
        <v>0</v>
      </c>
      <c r="S10" s="31" t="s">
        <v>51</v>
      </c>
      <c r="T10" s="32" t="s">
        <v>49</v>
      </c>
      <c r="U10" s="47">
        <v>24</v>
      </c>
      <c r="V10" s="38" t="s">
        <v>52</v>
      </c>
      <c r="W10" s="45">
        <v>20</v>
      </c>
      <c r="X10"/>
      <c r="Y10" s="45">
        <f>U11</f>
        <v>29.957805907172997</v>
      </c>
      <c r="Z10"/>
      <c r="AA10" s="45">
        <v>25</v>
      </c>
      <c r="AB10" s="18"/>
      <c r="AC10" s="18"/>
      <c r="AD10" s="42"/>
      <c r="AE10" s="18"/>
      <c r="AF10" s="18"/>
      <c r="AG10" s="18"/>
    </row>
    <row r="11" spans="1:33" ht="14.4" x14ac:dyDescent="0.3">
      <c r="A11" s="23">
        <f t="shared" si="0"/>
        <v>5</v>
      </c>
      <c r="B11" s="24">
        <v>5</v>
      </c>
      <c r="C11" s="25">
        <v>9</v>
      </c>
      <c r="D11" s="6" t="s">
        <v>53</v>
      </c>
      <c r="E11" s="26">
        <v>0</v>
      </c>
      <c r="F11" s="26">
        <v>0</v>
      </c>
      <c r="G11" s="27">
        <f>E11+F11</f>
        <v>0</v>
      </c>
      <c r="H11" s="26">
        <f t="shared" si="1"/>
        <v>0</v>
      </c>
      <c r="I11" s="27">
        <v>0</v>
      </c>
      <c r="J11" s="28">
        <f>I11/I17*100</f>
        <v>0</v>
      </c>
      <c r="K11" s="29">
        <f t="shared" si="2"/>
        <v>0</v>
      </c>
      <c r="L11" s="6">
        <v>98</v>
      </c>
      <c r="M11" s="6"/>
      <c r="N11" s="6"/>
      <c r="O11" s="6"/>
      <c r="P11" s="6"/>
      <c r="Q11" s="6">
        <v>0</v>
      </c>
      <c r="R11" s="29">
        <f t="shared" si="3"/>
        <v>0</v>
      </c>
      <c r="S11" s="31"/>
      <c r="T11" s="32" t="s">
        <v>54</v>
      </c>
      <c r="U11" s="47">
        <f>J5+J4</f>
        <v>29.957805907172997</v>
      </c>
      <c r="V11" s="38" t="s">
        <v>55</v>
      </c>
      <c r="W11" s="45">
        <f>SUM(W8:W10)</f>
        <v>654.89079130032405</v>
      </c>
      <c r="X11"/>
      <c r="Y11" s="45">
        <f>SUM(Y8:Y10)</f>
        <v>656.74443385977463</v>
      </c>
      <c r="Z11"/>
      <c r="AA11" s="45">
        <f>SUM(AA8:AA10)</f>
        <v>673.73421926910294</v>
      </c>
      <c r="AB11" s="18"/>
      <c r="AC11" s="18"/>
      <c r="AD11" s="42"/>
      <c r="AE11" s="18"/>
      <c r="AF11" s="18"/>
      <c r="AG11" s="18"/>
    </row>
    <row r="12" spans="1:33" ht="14.4" x14ac:dyDescent="0.3">
      <c r="A12" s="48">
        <f>+B12-H12</f>
        <v>41.780999999999949</v>
      </c>
      <c r="B12" s="24">
        <v>1081</v>
      </c>
      <c r="C12" s="25">
        <v>10</v>
      </c>
      <c r="D12" s="6" t="s">
        <v>56</v>
      </c>
      <c r="E12" s="49">
        <v>946.75900000000001</v>
      </c>
      <c r="F12" s="26">
        <v>314.45999999999998</v>
      </c>
      <c r="G12" s="27">
        <f>E12+F12</f>
        <v>1261.2190000000001</v>
      </c>
      <c r="H12" s="49">
        <f>G12-I12</f>
        <v>1039.2190000000001</v>
      </c>
      <c r="I12" s="46">
        <v>222</v>
      </c>
      <c r="J12" s="28">
        <f>I12/I17*100</f>
        <v>46.835443037974684</v>
      </c>
      <c r="K12" s="29">
        <f t="shared" si="2"/>
        <v>43.556962025316459</v>
      </c>
      <c r="L12" s="6">
        <v>93</v>
      </c>
      <c r="M12" s="36"/>
      <c r="N12" s="6"/>
      <c r="O12" s="6"/>
      <c r="P12" s="6"/>
      <c r="Q12" s="6">
        <v>48</v>
      </c>
      <c r="R12" s="29">
        <f t="shared" si="3"/>
        <v>1.1645569620253156</v>
      </c>
      <c r="S12" s="31" t="s">
        <v>57</v>
      </c>
      <c r="T12" s="32" t="s">
        <v>55</v>
      </c>
      <c r="U12" s="47">
        <f>U9+U10+U11</f>
        <v>656.74443385977463</v>
      </c>
      <c r="V12" s="38" t="s">
        <v>58</v>
      </c>
      <c r="W12" s="50">
        <v>16</v>
      </c>
      <c r="X12"/>
      <c r="Y12" s="50">
        <v>16</v>
      </c>
      <c r="Z12"/>
      <c r="AA12" s="50">
        <v>16</v>
      </c>
      <c r="AB12" s="18"/>
      <c r="AC12" s="18"/>
      <c r="AD12" s="42"/>
      <c r="AE12" s="18"/>
      <c r="AF12" s="18"/>
      <c r="AG12" s="18"/>
    </row>
    <row r="13" spans="1:33" ht="14.4" x14ac:dyDescent="0.3">
      <c r="A13" s="23">
        <f t="shared" si="0"/>
        <v>-0.85000000000000142</v>
      </c>
      <c r="B13" s="24">
        <v>21</v>
      </c>
      <c r="C13" s="25">
        <v>11</v>
      </c>
      <c r="D13" s="6" t="s">
        <v>60</v>
      </c>
      <c r="E13" s="26">
        <v>33.85</v>
      </c>
      <c r="F13" s="26">
        <v>0</v>
      </c>
      <c r="G13" s="27">
        <f>E13+F13</f>
        <v>33.85</v>
      </c>
      <c r="H13" s="26">
        <f>G13-I13</f>
        <v>21.85</v>
      </c>
      <c r="I13" s="27">
        <v>12</v>
      </c>
      <c r="J13" s="28">
        <f>I13/I17*100</f>
        <v>2.5316455696202533</v>
      </c>
      <c r="K13" s="29">
        <f t="shared" si="2"/>
        <v>1.7377215189873418</v>
      </c>
      <c r="L13" s="6">
        <v>68.64</v>
      </c>
      <c r="M13" s="24" t="s">
        <v>61</v>
      </c>
      <c r="N13" s="6">
        <v>12</v>
      </c>
      <c r="O13" s="6" t="s">
        <v>62</v>
      </c>
      <c r="P13" s="53"/>
      <c r="Q13" s="6">
        <v>2</v>
      </c>
      <c r="R13" s="29">
        <f t="shared" si="3"/>
        <v>-0.53164556962025333</v>
      </c>
      <c r="S13" s="31">
        <v>5</v>
      </c>
      <c r="T13" s="32" t="s">
        <v>58</v>
      </c>
      <c r="U13" s="24">
        <v>20</v>
      </c>
      <c r="V13" s="38" t="s">
        <v>63</v>
      </c>
      <c r="W13" s="34">
        <v>10060</v>
      </c>
      <c r="X13"/>
      <c r="Y13" s="34">
        <v>10670</v>
      </c>
      <c r="Z13"/>
      <c r="AA13" s="34">
        <v>12000</v>
      </c>
      <c r="AB13" s="18"/>
      <c r="AC13" s="18"/>
      <c r="AD13" s="42"/>
      <c r="AE13" s="18"/>
      <c r="AF13" s="18"/>
      <c r="AG13" s="18"/>
    </row>
    <row r="14" spans="1:33" ht="14.4" x14ac:dyDescent="0.3">
      <c r="A14" s="23">
        <f t="shared" si="0"/>
        <v>-8.4500000000000028</v>
      </c>
      <c r="B14" s="24">
        <v>72</v>
      </c>
      <c r="C14" s="25">
        <v>12</v>
      </c>
      <c r="D14" s="6" t="s">
        <v>64</v>
      </c>
      <c r="E14" s="26">
        <v>88.95</v>
      </c>
      <c r="F14" s="26">
        <v>13.5</v>
      </c>
      <c r="G14" s="27">
        <f>E14+F14</f>
        <v>102.45</v>
      </c>
      <c r="H14" s="26">
        <f t="shared" si="1"/>
        <v>80.45</v>
      </c>
      <c r="I14" s="27">
        <v>22</v>
      </c>
      <c r="J14" s="28">
        <f>I14/I17*100</f>
        <v>4.6413502109704643</v>
      </c>
      <c r="K14" s="29">
        <f>+J14*L14%</f>
        <v>4.5485232067510548</v>
      </c>
      <c r="L14" s="6">
        <v>98</v>
      </c>
      <c r="M14" s="6"/>
      <c r="N14" s="6"/>
      <c r="O14" s="6"/>
      <c r="P14" s="30"/>
      <c r="Q14" s="6">
        <v>3</v>
      </c>
      <c r="R14" s="29">
        <f t="shared" si="3"/>
        <v>-1.6413502109704643</v>
      </c>
      <c r="S14" s="31">
        <v>6</v>
      </c>
      <c r="T14" s="32" t="s">
        <v>63</v>
      </c>
      <c r="U14" s="24">
        <v>12000</v>
      </c>
      <c r="V14" s="38" t="s">
        <v>65</v>
      </c>
      <c r="W14" s="54">
        <v>0.92</v>
      </c>
      <c r="X14"/>
      <c r="Y14" s="54">
        <v>0.92</v>
      </c>
      <c r="Z14"/>
      <c r="AA14" s="54">
        <v>0.92</v>
      </c>
      <c r="AB14" s="18"/>
      <c r="AC14" s="18"/>
      <c r="AD14" s="42"/>
      <c r="AE14" s="18"/>
      <c r="AF14" s="18"/>
      <c r="AG14" s="18"/>
    </row>
    <row r="15" spans="1:33" ht="14.4" x14ac:dyDescent="0.3">
      <c r="A15" s="23">
        <f t="shared" si="0"/>
        <v>0</v>
      </c>
      <c r="B15" s="24">
        <v>0</v>
      </c>
      <c r="C15" s="25">
        <v>13</v>
      </c>
      <c r="D15" s="6" t="s">
        <v>1</v>
      </c>
      <c r="E15" s="26">
        <v>0</v>
      </c>
      <c r="F15" s="26">
        <v>0</v>
      </c>
      <c r="G15" s="27">
        <f>E15+F15</f>
        <v>0</v>
      </c>
      <c r="H15" s="26">
        <f>G15-I15</f>
        <v>0</v>
      </c>
      <c r="I15" s="27">
        <v>0</v>
      </c>
      <c r="J15" s="28">
        <f>I15/I17*100</f>
        <v>0</v>
      </c>
      <c r="K15" s="29">
        <f>J15*L15</f>
        <v>0</v>
      </c>
      <c r="L15" s="55">
        <v>0.98</v>
      </c>
      <c r="M15" s="6"/>
      <c r="N15" s="6"/>
      <c r="O15" s="6"/>
      <c r="P15" s="30"/>
      <c r="Q15" s="6"/>
      <c r="R15" s="29"/>
      <c r="S15" s="31"/>
      <c r="T15" s="32"/>
      <c r="U15" s="24"/>
      <c r="V15" s="38"/>
      <c r="W15" s="54"/>
      <c r="X15"/>
      <c r="Y15" s="54"/>
      <c r="Z15"/>
      <c r="AA15" s="54"/>
      <c r="AB15" s="18"/>
      <c r="AC15" s="18"/>
      <c r="AD15" s="42"/>
      <c r="AE15" s="18"/>
      <c r="AF15" s="18"/>
      <c r="AG15" s="18"/>
    </row>
    <row r="16" spans="1:33" ht="14.4" x14ac:dyDescent="0.3">
      <c r="A16" s="23">
        <f>+B16-H16</f>
        <v>-6.39</v>
      </c>
      <c r="B16" s="24">
        <v>1</v>
      </c>
      <c r="C16" s="25">
        <v>14</v>
      </c>
      <c r="D16" s="6" t="s">
        <v>66</v>
      </c>
      <c r="E16" s="26">
        <v>7.39</v>
      </c>
      <c r="F16" s="26">
        <v>0</v>
      </c>
      <c r="G16" s="27">
        <f t="shared" si="4"/>
        <v>7.39</v>
      </c>
      <c r="H16" s="26">
        <f t="shared" si="1"/>
        <v>7.39</v>
      </c>
      <c r="I16" s="27">
        <v>0</v>
      </c>
      <c r="J16" s="28">
        <f>I16/I17*100</f>
        <v>0</v>
      </c>
      <c r="K16" s="29">
        <f>+J16*L16%</f>
        <v>0</v>
      </c>
      <c r="L16" s="6">
        <v>94</v>
      </c>
      <c r="M16" s="8" t="s">
        <v>67</v>
      </c>
      <c r="N16" s="6" t="s">
        <v>68</v>
      </c>
      <c r="O16" s="36" t="s">
        <v>69</v>
      </c>
      <c r="P16" s="6"/>
      <c r="Q16" s="6"/>
      <c r="R16" s="29"/>
      <c r="S16" s="31">
        <v>7</v>
      </c>
      <c r="T16" s="32" t="s">
        <v>65</v>
      </c>
      <c r="U16" s="56">
        <v>0.9</v>
      </c>
      <c r="V16" s="57" t="s">
        <v>70</v>
      </c>
      <c r="W16" s="58">
        <f>(W13*W14)/(W11-W10)</f>
        <v>14.577625202350729</v>
      </c>
      <c r="X16"/>
      <c r="Y16" s="58">
        <f>(Y13*Y14)/(Y11-Y10)</f>
        <v>15.661470047734214</v>
      </c>
      <c r="Z16"/>
      <c r="AA16" s="58">
        <f>(AA13*AA14)/(AA11-AA10)</f>
        <v>17.017754994392352</v>
      </c>
      <c r="AB16" s="18"/>
      <c r="AC16" s="18"/>
      <c r="AD16" s="42"/>
      <c r="AE16" s="18"/>
      <c r="AF16" s="18"/>
      <c r="AG16" s="18"/>
    </row>
    <row r="17" spans="1:33" ht="14.4" x14ac:dyDescent="0.3">
      <c r="A17" s="59">
        <f>+B17-H17</f>
        <v>65.706000000000131</v>
      </c>
      <c r="B17" s="6">
        <f>SUM(B3:B14)+B16</f>
        <v>2543</v>
      </c>
      <c r="C17" s="8"/>
      <c r="D17" s="6" t="s">
        <v>10</v>
      </c>
      <c r="E17" s="26">
        <f>SUM(E3:E16)</f>
        <v>2352.7339999999995</v>
      </c>
      <c r="F17" s="27">
        <f>SUM(F3:F16)</f>
        <v>598.55999999999995</v>
      </c>
      <c r="G17" s="27">
        <f>E17+F17</f>
        <v>2951.2939999999994</v>
      </c>
      <c r="H17" s="26">
        <f>SUM(H3:H16)</f>
        <v>2477.2939999999999</v>
      </c>
      <c r="I17" s="27">
        <f>SUM(I3:I16)</f>
        <v>474</v>
      </c>
      <c r="J17" s="28">
        <f>SUM(J3:J16)</f>
        <v>100</v>
      </c>
      <c r="K17" s="29">
        <f>SUM(K3:K16)</f>
        <v>85.847088607594955</v>
      </c>
      <c r="L17" s="6"/>
      <c r="M17" s="30">
        <f>+O2/I17*100</f>
        <v>86.028691983122357</v>
      </c>
      <c r="N17" s="60">
        <f>+K17</f>
        <v>85.847088607594955</v>
      </c>
      <c r="O17" s="27">
        <f>+M17-N17</f>
        <v>0.18160337552740202</v>
      </c>
      <c r="P17" s="36">
        <f>1036+27</f>
        <v>1063</v>
      </c>
      <c r="Q17" s="6">
        <f>SUM(Q3:Q16)</f>
        <v>100</v>
      </c>
      <c r="R17" s="29">
        <f t="shared" si="3"/>
        <v>0</v>
      </c>
      <c r="S17" s="31">
        <v>8</v>
      </c>
      <c r="T17" s="32" t="s">
        <v>70</v>
      </c>
      <c r="U17" s="61">
        <f>(U14*U16)/(U12-U11)</f>
        <v>17.23074411347638</v>
      </c>
      <c r="V17" s="38" t="s">
        <v>71</v>
      </c>
      <c r="W17" s="50">
        <v>34</v>
      </c>
      <c r="X17"/>
      <c r="Y17" s="50">
        <v>34</v>
      </c>
      <c r="Z17"/>
      <c r="AA17" s="50">
        <v>34</v>
      </c>
      <c r="AB17" s="18"/>
      <c r="AC17" s="18"/>
      <c r="AD17" s="18"/>
      <c r="AE17" s="18"/>
      <c r="AF17" s="18"/>
      <c r="AG17" s="18"/>
    </row>
    <row r="18" spans="1:33" ht="14.4" x14ac:dyDescent="0.3">
      <c r="A18" s="62"/>
      <c r="B18" s="63">
        <f>+H17-B17</f>
        <v>-65.706000000000131</v>
      </c>
      <c r="C18" s="8"/>
      <c r="D18" s="6"/>
      <c r="E18" s="26"/>
      <c r="F18" s="27"/>
      <c r="G18" s="27"/>
      <c r="H18" s="26"/>
      <c r="I18" s="27"/>
      <c r="J18" s="28" t="s">
        <v>72</v>
      </c>
      <c r="K18" s="64">
        <f>P2/M3</f>
        <v>1.2212587302832929E-2</v>
      </c>
      <c r="L18" s="6"/>
      <c r="M18" s="30"/>
      <c r="N18" s="60"/>
      <c r="O18" s="27"/>
      <c r="P18" s="36">
        <f>+P17-P19</f>
        <v>-64.059000000000196</v>
      </c>
      <c r="Q18" s="6"/>
      <c r="R18" s="29"/>
      <c r="S18" s="31"/>
      <c r="T18" s="32"/>
      <c r="U18" s="61"/>
      <c r="V18" s="38"/>
      <c r="W18" s="50"/>
      <c r="X18"/>
      <c r="Y18" s="50"/>
      <c r="Z18"/>
      <c r="AA18" s="50"/>
      <c r="AB18" s="18"/>
      <c r="AC18" s="18"/>
      <c r="AD18" s="18"/>
      <c r="AE18" s="18"/>
      <c r="AF18" s="18"/>
      <c r="AG18" s="18"/>
    </row>
    <row r="19" spans="1:33" ht="23.4" x14ac:dyDescent="0.45">
      <c r="A19" s="6">
        <f>B3+B4+B5+B13</f>
        <v>945</v>
      </c>
      <c r="B19" s="6">
        <f>B12+B14+B16</f>
        <v>1154</v>
      </c>
      <c r="C19" s="8"/>
      <c r="D19" s="6" t="s">
        <v>73</v>
      </c>
      <c r="E19" s="27">
        <v>0</v>
      </c>
      <c r="F19" s="27">
        <v>0</v>
      </c>
      <c r="G19" s="27">
        <f>+E19+F19</f>
        <v>0</v>
      </c>
      <c r="H19" s="27">
        <f>G19-I19</f>
        <v>0</v>
      </c>
      <c r="I19" s="27">
        <f>F19</f>
        <v>0</v>
      </c>
      <c r="J19" s="65"/>
      <c r="K19" s="29"/>
      <c r="L19" s="6" t="s">
        <v>74</v>
      </c>
      <c r="M19" s="25" t="s">
        <v>75</v>
      </c>
      <c r="N19" s="66">
        <f>H3+H4+H5+H13+H10</f>
        <v>951.84</v>
      </c>
      <c r="O19" s="65" t="s">
        <v>76</v>
      </c>
      <c r="P19" s="67">
        <f>H12+H14+H16</f>
        <v>1127.0590000000002</v>
      </c>
      <c r="Q19" s="27">
        <f>+P19+N19</f>
        <v>2078.8990000000003</v>
      </c>
      <c r="R19" s="68"/>
      <c r="S19" s="31">
        <v>9</v>
      </c>
      <c r="T19" s="32" t="s">
        <v>71</v>
      </c>
      <c r="U19" s="24">
        <v>34</v>
      </c>
      <c r="V19" s="38" t="s">
        <v>77</v>
      </c>
      <c r="W19" s="69">
        <f>W17*60/W16</f>
        <v>139.94048904968676</v>
      </c>
      <c r="X19"/>
      <c r="Y19" s="69">
        <f>Y17*60/Y16</f>
        <v>130.25597174354218</v>
      </c>
      <c r="Z19"/>
      <c r="AA19" s="69">
        <f>AA17*60/AA16</f>
        <v>119.87480138668207</v>
      </c>
      <c r="AB19" s="18"/>
      <c r="AC19" s="18"/>
      <c r="AD19" s="18"/>
      <c r="AE19" s="18"/>
      <c r="AF19" s="18"/>
      <c r="AG19" s="18"/>
    </row>
    <row r="20" spans="1:33" ht="14.4" x14ac:dyDescent="0.3">
      <c r="A20" s="63">
        <f>A19-N19</f>
        <v>-6.8400000000000318</v>
      </c>
      <c r="B20" s="70">
        <f>B19-P19</f>
        <v>26.940999999999804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31">
        <v>10</v>
      </c>
      <c r="T20" s="32" t="s">
        <v>77</v>
      </c>
      <c r="U20" s="71">
        <f>U19*60/U17</f>
        <v>118.3930297243803</v>
      </c>
      <c r="V20" s="57" t="s">
        <v>78</v>
      </c>
      <c r="W20" s="72">
        <v>5</v>
      </c>
      <c r="X20"/>
      <c r="Y20" s="72">
        <v>12</v>
      </c>
      <c r="Z20"/>
      <c r="AA20" s="72">
        <v>15</v>
      </c>
      <c r="AB20" s="18"/>
      <c r="AC20" s="18"/>
      <c r="AD20" s="18"/>
      <c r="AE20" s="18"/>
      <c r="AF20" s="18"/>
      <c r="AG20" s="18"/>
    </row>
    <row r="21" spans="1:33" ht="42" x14ac:dyDescent="0.3">
      <c r="A21" s="73"/>
      <c r="B21" s="74"/>
      <c r="C21" s="74"/>
      <c r="H21" s="2"/>
      <c r="S21" s="8">
        <v>11</v>
      </c>
      <c r="T21" s="32" t="s">
        <v>78</v>
      </c>
      <c r="U21" s="75">
        <v>6</v>
      </c>
      <c r="V21" s="57" t="s">
        <v>79</v>
      </c>
      <c r="W21" s="72">
        <f>W20+W19</f>
        <v>144.94048904968676</v>
      </c>
      <c r="X21"/>
      <c r="Y21" s="72">
        <f>Y20+Y19</f>
        <v>142.25597174354218</v>
      </c>
      <c r="Z21"/>
      <c r="AA21" s="72">
        <f>AA20+AA19</f>
        <v>134.87480138668207</v>
      </c>
      <c r="AB21" s="18"/>
      <c r="AC21" s="18"/>
      <c r="AD21" s="18"/>
      <c r="AE21" s="18"/>
      <c r="AF21" s="18"/>
      <c r="AG21" s="18"/>
    </row>
    <row r="22" spans="1:33" s="82" customFormat="1" ht="14.4" x14ac:dyDescent="0.3">
      <c r="A22" s="76"/>
      <c r="B22" s="77">
        <f>A12+A16</f>
        <v>35.390999999999948</v>
      </c>
      <c r="C22" s="78"/>
      <c r="D22" s="2"/>
      <c r="E22" s="79">
        <f>H12+H14+H16</f>
        <v>1127.0590000000002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6">
        <v>12</v>
      </c>
      <c r="T22" s="32" t="s">
        <v>79</v>
      </c>
      <c r="U22" s="71">
        <f>U21+U20</f>
        <v>124.3930297243803</v>
      </c>
      <c r="V22" s="38" t="s">
        <v>80</v>
      </c>
      <c r="W22" s="80">
        <f>24*60/W21</f>
        <v>9.9351120548955549</v>
      </c>
      <c r="X22"/>
      <c r="Y22" s="80">
        <f>24*60/Y21</f>
        <v>10.122597894139863</v>
      </c>
      <c r="Z22"/>
      <c r="AA22" s="80">
        <f>24*60/AA21</f>
        <v>10.676568085327983</v>
      </c>
      <c r="AB22" s="81"/>
      <c r="AC22" s="81"/>
      <c r="AD22" s="81"/>
      <c r="AE22" s="81"/>
      <c r="AF22" s="81"/>
      <c r="AG22" s="81"/>
    </row>
    <row r="23" spans="1:33" ht="14.4" x14ac:dyDescent="0.3">
      <c r="A23" s="83"/>
      <c r="B23" s="84"/>
      <c r="C23" s="84"/>
      <c r="E23" s="2">
        <f>B12+B14+B16</f>
        <v>1154</v>
      </c>
      <c r="H23" s="2"/>
      <c r="S23" s="6">
        <v>13</v>
      </c>
      <c r="T23" s="32" t="s">
        <v>80</v>
      </c>
      <c r="U23" s="85">
        <f>24*60/U22</f>
        <v>11.576211329450146</v>
      </c>
      <c r="V23" s="57" t="s">
        <v>81</v>
      </c>
      <c r="W23" s="86">
        <f>W22*W17</f>
        <v>337.7938098664489</v>
      </c>
      <c r="X23"/>
      <c r="Y23" s="86">
        <f>Y22*Y17</f>
        <v>344.16832840075534</v>
      </c>
      <c r="Z23"/>
      <c r="AA23" s="86">
        <f>AA22*AA17</f>
        <v>363.00331490115138</v>
      </c>
      <c r="AB23" s="18"/>
      <c r="AC23" s="18"/>
      <c r="AD23" s="18"/>
      <c r="AE23" s="18"/>
      <c r="AF23" s="18"/>
      <c r="AG23" s="18"/>
    </row>
    <row r="24" spans="1:33" ht="15" thickBot="1" x14ac:dyDescent="0.35">
      <c r="A24" s="73"/>
      <c r="B24" s="74"/>
      <c r="C24" s="87"/>
      <c r="E24" s="79">
        <f>E23-E22</f>
        <v>26.940999999999804</v>
      </c>
      <c r="H24" s="2"/>
      <c r="S24" s="6">
        <v>14</v>
      </c>
      <c r="T24" s="88" t="s">
        <v>81</v>
      </c>
      <c r="U24" s="89">
        <f>U23*U19</f>
        <v>393.59118520130494</v>
      </c>
      <c r="V24" s="57" t="s">
        <v>82</v>
      </c>
      <c r="W24" s="3">
        <v>65</v>
      </c>
      <c r="X24"/>
      <c r="Y24" s="90">
        <f>+W23*W24/Y23</f>
        <v>63.796101585944157</v>
      </c>
      <c r="Z24" s="91"/>
      <c r="AA24" s="90">
        <f>+Y23*Y24/AA23</f>
        <v>60.485942524514222</v>
      </c>
      <c r="AB24" s="18"/>
      <c r="AC24" s="18"/>
      <c r="AD24" s="18"/>
      <c r="AE24" s="18"/>
      <c r="AF24" s="18"/>
      <c r="AG24" s="18"/>
    </row>
    <row r="25" spans="1:33" ht="13.8" x14ac:dyDescent="0.3">
      <c r="A25" s="83"/>
      <c r="B25" s="92"/>
      <c r="C25" s="87"/>
      <c r="H25" s="2"/>
      <c r="S25" s="18"/>
      <c r="T25" s="93"/>
      <c r="U25" s="94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1:33" ht="13.8" x14ac:dyDescent="0.3">
      <c r="A26" s="83"/>
      <c r="B26" s="95"/>
      <c r="C26" s="87"/>
      <c r="H26" s="2"/>
      <c r="S26" s="18"/>
      <c r="T26" s="81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 x14ac:dyDescent="0.2">
      <c r="C27" s="81"/>
      <c r="S27" s="18"/>
      <c r="T27" s="81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 x14ac:dyDescent="0.2">
      <c r="C28" s="81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</sheetData>
  <mergeCells count="3">
    <mergeCell ref="A1:N1"/>
    <mergeCell ref="T1:U1"/>
    <mergeCell ref="C20:R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A431-B478-4E8B-B8D6-8B3A82C387DC}">
  <dimension ref="A1:AG28"/>
  <sheetViews>
    <sheetView zoomScale="141" zoomScaleNormal="141" workbookViewId="0">
      <selection activeCell="H17" sqref="H17"/>
    </sheetView>
  </sheetViews>
  <sheetFormatPr defaultColWidth="9.109375" defaultRowHeight="10.199999999999999" x14ac:dyDescent="0.2"/>
  <cols>
    <col min="1" max="1" width="14.109375" style="2" bestFit="1" customWidth="1"/>
    <col min="2" max="2" width="7.88671875" style="2" bestFit="1" customWidth="1"/>
    <col min="3" max="3" width="8.44140625" style="82" bestFit="1" customWidth="1"/>
    <col min="4" max="4" width="17.5546875" style="2" bestFit="1" customWidth="1"/>
    <col min="5" max="5" width="10.88671875" style="2" bestFit="1" customWidth="1"/>
    <col min="6" max="6" width="7.33203125" style="2" bestFit="1" customWidth="1"/>
    <col min="7" max="7" width="9.109375" style="2"/>
    <col min="8" max="8" width="10" style="82" customWidth="1"/>
    <col min="9" max="9" width="9.5546875" style="2" bestFit="1" customWidth="1"/>
    <col min="10" max="10" width="10.44140625" style="2" bestFit="1" customWidth="1"/>
    <col min="11" max="11" width="12" style="2" customWidth="1"/>
    <col min="12" max="12" width="10.109375" style="2" bestFit="1" customWidth="1"/>
    <col min="13" max="13" width="10.5546875" style="2" bestFit="1" customWidth="1"/>
    <col min="14" max="14" width="15" style="2" customWidth="1"/>
    <col min="15" max="15" width="12.109375" style="2" customWidth="1"/>
    <col min="16" max="16" width="15.33203125" style="2" customWidth="1"/>
    <col min="17" max="17" width="7.44140625" style="2" bestFit="1" customWidth="1"/>
    <col min="18" max="18" width="7.6640625" style="2" customWidth="1"/>
    <col min="19" max="19" width="5.33203125" style="2" bestFit="1" customWidth="1"/>
    <col min="20" max="20" width="27.5546875" style="82" customWidth="1"/>
    <col min="21" max="21" width="11.44140625" style="2" bestFit="1" customWidth="1"/>
    <col min="22" max="22" width="30.88671875" style="2" customWidth="1"/>
    <col min="23" max="23" width="11.44140625" style="2" bestFit="1" customWidth="1"/>
    <col min="24" max="24" width="6.109375" style="2" bestFit="1" customWidth="1"/>
    <col min="25" max="25" width="11.44140625" style="2" bestFit="1" customWidth="1"/>
    <col min="26" max="26" width="5.44140625" style="2" bestFit="1" customWidth="1"/>
    <col min="27" max="27" width="11.44140625" style="2" bestFit="1" customWidth="1"/>
    <col min="28" max="28" width="6.6640625" style="2" bestFit="1" customWidth="1"/>
    <col min="29" max="29" width="5.5546875" style="2" bestFit="1" customWidth="1"/>
    <col min="30" max="30" width="7" style="2" bestFit="1" customWidth="1"/>
    <col min="31" max="31" width="4.44140625" style="2" bestFit="1" customWidth="1"/>
    <col min="32" max="16384" width="9.109375" style="2"/>
  </cols>
  <sheetData>
    <row r="1" spans="1:33" ht="15" thickBot="1" x14ac:dyDescent="0.35">
      <c r="A1" s="96" t="s">
        <v>96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1" t="s">
        <v>0</v>
      </c>
      <c r="P1" s="1" t="s">
        <v>1</v>
      </c>
      <c r="Q1" s="1"/>
      <c r="R1" s="1"/>
      <c r="T1" s="97" t="s">
        <v>2</v>
      </c>
      <c r="U1" s="98"/>
      <c r="V1" s="3" t="s">
        <v>3</v>
      </c>
      <c r="W1" s="4">
        <v>0.5</v>
      </c>
      <c r="X1"/>
      <c r="Y1" s="5">
        <v>0.4</v>
      </c>
      <c r="Z1"/>
      <c r="AA1" s="5">
        <v>0.3</v>
      </c>
    </row>
    <row r="2" spans="1:33" ht="14.4" x14ac:dyDescent="0.3">
      <c r="A2" s="6" t="s">
        <v>4</v>
      </c>
      <c r="B2" s="7" t="s">
        <v>5</v>
      </c>
      <c r="C2" s="8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8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9" t="s">
        <v>17</v>
      </c>
      <c r="O2" s="10">
        <v>337.79700000000003</v>
      </c>
      <c r="P2" s="11">
        <v>6.23</v>
      </c>
      <c r="Q2" s="6" t="s">
        <v>18</v>
      </c>
      <c r="R2" s="6" t="s">
        <v>19</v>
      </c>
      <c r="S2" s="12" t="s">
        <v>20</v>
      </c>
      <c r="T2" s="13" t="s">
        <v>21</v>
      </c>
      <c r="U2" s="14" t="s">
        <v>22</v>
      </c>
      <c r="V2" s="15" t="s">
        <v>21</v>
      </c>
      <c r="W2" s="16" t="s">
        <v>22</v>
      </c>
      <c r="X2"/>
      <c r="Y2" s="17" t="s">
        <v>22</v>
      </c>
      <c r="Z2"/>
      <c r="AA2" s="17" t="s">
        <v>22</v>
      </c>
      <c r="AB2" s="18"/>
      <c r="AC2" s="18"/>
      <c r="AD2" s="19"/>
      <c r="AE2" s="20"/>
      <c r="AF2" s="21"/>
      <c r="AG2" s="22"/>
    </row>
    <row r="3" spans="1:33" ht="14.4" x14ac:dyDescent="0.3">
      <c r="A3" s="23">
        <f>+B3-H3</f>
        <v>36.839999999999918</v>
      </c>
      <c r="B3" s="24">
        <v>501</v>
      </c>
      <c r="C3" s="25">
        <v>1</v>
      </c>
      <c r="D3" s="6" t="s">
        <v>23</v>
      </c>
      <c r="E3" s="26">
        <v>429.48</v>
      </c>
      <c r="F3" s="26">
        <v>109.68</v>
      </c>
      <c r="G3" s="27">
        <f>E3+F3</f>
        <v>539.16000000000008</v>
      </c>
      <c r="H3" s="26">
        <f>G3-I3</f>
        <v>464.16000000000008</v>
      </c>
      <c r="I3" s="27">
        <v>75</v>
      </c>
      <c r="J3" s="28">
        <f>I3/I17*100</f>
        <v>19.083969465648856</v>
      </c>
      <c r="K3" s="29">
        <f>+J3*L3%</f>
        <v>15.297709923664122</v>
      </c>
      <c r="L3" s="30">
        <v>80.16</v>
      </c>
      <c r="M3" s="27">
        <f>O2</f>
        <v>337.79700000000003</v>
      </c>
      <c r="N3" s="28">
        <f>U24</f>
        <v>393.03843823191232</v>
      </c>
      <c r="O3" s="30" t="s">
        <v>24</v>
      </c>
      <c r="P3" s="27" t="s">
        <v>25</v>
      </c>
      <c r="Q3" s="6">
        <v>16</v>
      </c>
      <c r="R3" s="29">
        <f>Q3-J3</f>
        <v>-3.0839694656488561</v>
      </c>
      <c r="S3" s="31"/>
      <c r="T3" s="32" t="s">
        <v>26</v>
      </c>
      <c r="U3" s="24">
        <v>30</v>
      </c>
      <c r="V3" s="33" t="s">
        <v>26</v>
      </c>
      <c r="W3" s="34">
        <v>30</v>
      </c>
      <c r="X3"/>
      <c r="Y3" s="34">
        <v>30</v>
      </c>
      <c r="Z3"/>
      <c r="AA3" s="34">
        <v>30</v>
      </c>
      <c r="AB3" s="18"/>
      <c r="AC3" s="18"/>
      <c r="AD3" s="18"/>
      <c r="AE3" s="35"/>
      <c r="AF3" s="18"/>
      <c r="AG3" s="18"/>
    </row>
    <row r="4" spans="1:33" ht="14.4" x14ac:dyDescent="0.3">
      <c r="A4" s="23">
        <f t="shared" ref="A4:A15" si="0">+B4-H4</f>
        <v>-43.629999999999995</v>
      </c>
      <c r="B4" s="24">
        <v>230</v>
      </c>
      <c r="C4" s="25">
        <v>2</v>
      </c>
      <c r="D4" s="6" t="s">
        <v>27</v>
      </c>
      <c r="E4" s="26">
        <v>296.52999999999997</v>
      </c>
      <c r="F4" s="26">
        <v>25.1</v>
      </c>
      <c r="G4" s="27">
        <f>E4+F4</f>
        <v>321.63</v>
      </c>
      <c r="H4" s="26">
        <f t="shared" ref="H4:H16" si="1">G4-I4</f>
        <v>273.63</v>
      </c>
      <c r="I4" s="27">
        <v>48</v>
      </c>
      <c r="J4" s="28">
        <f>I4/I17*100</f>
        <v>12.213740458015266</v>
      </c>
      <c r="K4" s="29">
        <f t="shared" ref="K4:K13" si="2">+J4*L4%</f>
        <v>9.161526717557253</v>
      </c>
      <c r="L4" s="30">
        <v>75.010000000000005</v>
      </c>
      <c r="M4" s="6" t="s">
        <v>28</v>
      </c>
      <c r="N4" s="6" t="s">
        <v>29</v>
      </c>
      <c r="O4" s="36">
        <v>229313</v>
      </c>
      <c r="P4" s="36">
        <v>20823</v>
      </c>
      <c r="Q4" s="6">
        <v>13</v>
      </c>
      <c r="R4" s="29">
        <f t="shared" ref="R4:R17" si="3">Q4-J4</f>
        <v>0.7862595419847338</v>
      </c>
      <c r="S4" s="31">
        <v>1</v>
      </c>
      <c r="T4" s="32" t="s">
        <v>30</v>
      </c>
      <c r="U4" s="37">
        <f>M17</f>
        <v>85.953435114503819</v>
      </c>
      <c r="V4" s="38" t="s">
        <v>30</v>
      </c>
      <c r="W4" s="39">
        <v>86.44</v>
      </c>
      <c r="X4"/>
      <c r="Y4" s="39">
        <f>U4</f>
        <v>85.953435114503819</v>
      </c>
      <c r="Z4"/>
      <c r="AA4" s="39">
        <v>84.28</v>
      </c>
      <c r="AB4" s="18"/>
      <c r="AC4" s="18"/>
      <c r="AD4" s="18"/>
      <c r="AE4" s="18"/>
      <c r="AF4" s="18"/>
      <c r="AG4" s="18"/>
    </row>
    <row r="5" spans="1:33" ht="14.4" x14ac:dyDescent="0.3">
      <c r="A5" s="23">
        <f t="shared" si="0"/>
        <v>8.6899999999999977</v>
      </c>
      <c r="B5" s="24">
        <v>214</v>
      </c>
      <c r="C5" s="25">
        <v>3</v>
      </c>
      <c r="D5" s="6" t="s">
        <v>31</v>
      </c>
      <c r="E5" s="26">
        <v>203.98</v>
      </c>
      <c r="F5" s="26">
        <v>66.33</v>
      </c>
      <c r="G5" s="27">
        <f>E5+F5</f>
        <v>270.31</v>
      </c>
      <c r="H5" s="26">
        <f t="shared" si="1"/>
        <v>205.31</v>
      </c>
      <c r="I5" s="27">
        <v>65</v>
      </c>
      <c r="J5" s="28">
        <f>I5/I17*100</f>
        <v>16.539440203562343</v>
      </c>
      <c r="K5" s="29">
        <f t="shared" si="2"/>
        <v>13.056234096692114</v>
      </c>
      <c r="L5" s="30">
        <v>78.94</v>
      </c>
      <c r="M5" s="36">
        <f>O4/O2</f>
        <v>678.84853921141985</v>
      </c>
      <c r="N5" s="36">
        <f>+U12</f>
        <v>656.46595786208559</v>
      </c>
      <c r="O5" s="36">
        <f>+N5-M5</f>
        <v>-22.382581349334259</v>
      </c>
      <c r="P5" s="36">
        <f>+P4/O2</f>
        <v>61.643531470084099</v>
      </c>
      <c r="Q5" s="6">
        <v>18</v>
      </c>
      <c r="R5" s="29">
        <f t="shared" si="3"/>
        <v>1.4605597964376571</v>
      </c>
      <c r="S5" s="31"/>
      <c r="T5" s="32" t="s">
        <v>32</v>
      </c>
      <c r="U5" s="40" t="s">
        <v>33</v>
      </c>
      <c r="V5" s="38" t="s">
        <v>32</v>
      </c>
      <c r="W5" s="41" t="s">
        <v>33</v>
      </c>
      <c r="X5"/>
      <c r="Y5" s="41" t="s">
        <v>33</v>
      </c>
      <c r="Z5"/>
      <c r="AA5" s="41" t="s">
        <v>33</v>
      </c>
      <c r="AB5" s="18"/>
      <c r="AC5" s="18"/>
      <c r="AD5" s="42"/>
      <c r="AE5" s="18"/>
      <c r="AF5" s="18"/>
      <c r="AG5" s="18"/>
    </row>
    <row r="6" spans="1:33" ht="14.4" x14ac:dyDescent="0.3">
      <c r="A6" s="23">
        <f t="shared" si="0"/>
        <v>20.54000000000002</v>
      </c>
      <c r="B6" s="24">
        <v>325</v>
      </c>
      <c r="C6" s="25">
        <v>4</v>
      </c>
      <c r="D6" s="6" t="s">
        <v>34</v>
      </c>
      <c r="E6" s="26">
        <v>304.45999999999998</v>
      </c>
      <c r="F6" s="26">
        <v>0</v>
      </c>
      <c r="G6" s="27">
        <f t="shared" ref="G6:G16" si="4">E6+F6</f>
        <v>304.45999999999998</v>
      </c>
      <c r="H6" s="26">
        <f>G6-I6</f>
        <v>304.45999999999998</v>
      </c>
      <c r="I6" s="27">
        <v>0</v>
      </c>
      <c r="J6" s="28">
        <f>I6/I17*100</f>
        <v>0</v>
      </c>
      <c r="K6" s="29">
        <f t="shared" si="2"/>
        <v>0</v>
      </c>
      <c r="L6" s="6">
        <v>94</v>
      </c>
      <c r="M6" s="6" t="s">
        <v>35</v>
      </c>
      <c r="N6" s="6"/>
      <c r="O6" s="6" t="s">
        <v>36</v>
      </c>
      <c r="P6" s="6">
        <v>3501</v>
      </c>
      <c r="Q6" s="6">
        <v>0</v>
      </c>
      <c r="R6" s="29">
        <f t="shared" si="3"/>
        <v>0</v>
      </c>
      <c r="S6" s="31"/>
      <c r="T6" s="32" t="s">
        <v>37</v>
      </c>
      <c r="U6" s="40" t="s">
        <v>38</v>
      </c>
      <c r="V6" s="38" t="s">
        <v>37</v>
      </c>
      <c r="W6" s="41" t="s">
        <v>39</v>
      </c>
      <c r="X6"/>
      <c r="Y6" s="41" t="s">
        <v>39</v>
      </c>
      <c r="Z6"/>
      <c r="AA6" s="41" t="s">
        <v>39</v>
      </c>
      <c r="AB6" s="43"/>
      <c r="AC6" s="44"/>
      <c r="AD6" s="44"/>
      <c r="AE6" s="44"/>
      <c r="AF6" s="18"/>
      <c r="AG6" s="18"/>
    </row>
    <row r="7" spans="1:33" ht="14.4" x14ac:dyDescent="0.3">
      <c r="A7" s="23">
        <v>0</v>
      </c>
      <c r="B7" s="24">
        <v>0</v>
      </c>
      <c r="C7" s="25">
        <v>5</v>
      </c>
      <c r="D7" s="6" t="s">
        <v>40</v>
      </c>
      <c r="E7" s="26">
        <v>0</v>
      </c>
      <c r="F7" s="26">
        <v>0</v>
      </c>
      <c r="G7" s="27">
        <f t="shared" si="4"/>
        <v>0</v>
      </c>
      <c r="H7" s="26">
        <f t="shared" si="1"/>
        <v>0</v>
      </c>
      <c r="I7" s="27">
        <v>0</v>
      </c>
      <c r="J7" s="28">
        <f>I7/I17*100</f>
        <v>0</v>
      </c>
      <c r="K7" s="29">
        <f t="shared" si="2"/>
        <v>0</v>
      </c>
      <c r="L7" s="6">
        <v>88</v>
      </c>
      <c r="M7" s="36">
        <f>+P5+P8</f>
        <v>72.007744296130511</v>
      </c>
      <c r="N7" s="36">
        <v>67</v>
      </c>
      <c r="O7" s="36">
        <f>+N7-M7</f>
        <v>-5.007744296130511</v>
      </c>
      <c r="P7" s="36"/>
      <c r="Q7" s="6">
        <v>0</v>
      </c>
      <c r="R7" s="29">
        <f t="shared" si="3"/>
        <v>0</v>
      </c>
      <c r="S7" s="31">
        <v>2</v>
      </c>
      <c r="T7" s="32" t="s">
        <v>41</v>
      </c>
      <c r="U7" s="40">
        <v>455</v>
      </c>
      <c r="V7" s="38" t="s">
        <v>41</v>
      </c>
      <c r="W7" s="41">
        <v>465</v>
      </c>
      <c r="X7"/>
      <c r="Y7" s="41">
        <v>455</v>
      </c>
      <c r="Z7"/>
      <c r="AA7" s="41">
        <v>455</v>
      </c>
      <c r="AB7" s="18"/>
      <c r="AC7" s="18"/>
      <c r="AD7" s="42"/>
      <c r="AE7" s="18"/>
      <c r="AF7" s="18"/>
      <c r="AG7" s="18"/>
    </row>
    <row r="8" spans="1:33" ht="14.4" x14ac:dyDescent="0.3">
      <c r="A8" s="23">
        <f t="shared" si="0"/>
        <v>19.564999999999998</v>
      </c>
      <c r="B8" s="24">
        <v>119</v>
      </c>
      <c r="C8" s="25">
        <v>6</v>
      </c>
      <c r="D8" s="6" t="s">
        <v>42</v>
      </c>
      <c r="E8" s="26">
        <v>93.935000000000002</v>
      </c>
      <c r="F8" s="26">
        <v>5.5</v>
      </c>
      <c r="G8" s="27">
        <f t="shared" si="4"/>
        <v>99.435000000000002</v>
      </c>
      <c r="H8" s="26">
        <f t="shared" si="1"/>
        <v>99.435000000000002</v>
      </c>
      <c r="I8" s="27">
        <v>0</v>
      </c>
      <c r="J8" s="28">
        <f>I8/I17*100</f>
        <v>0</v>
      </c>
      <c r="K8" s="29">
        <f t="shared" si="2"/>
        <v>0</v>
      </c>
      <c r="L8" s="6">
        <v>90</v>
      </c>
      <c r="M8" s="30" t="s">
        <v>43</v>
      </c>
      <c r="N8" s="30" t="s">
        <v>44</v>
      </c>
      <c r="O8" s="6" t="s">
        <v>45</v>
      </c>
      <c r="P8" s="36">
        <f>+P6/O2</f>
        <v>10.364212826046412</v>
      </c>
      <c r="Q8" s="6">
        <v>0</v>
      </c>
      <c r="R8" s="29">
        <f t="shared" si="3"/>
        <v>0</v>
      </c>
      <c r="S8" s="31"/>
      <c r="T8" s="32"/>
      <c r="U8" s="40"/>
      <c r="V8" s="38" t="s">
        <v>46</v>
      </c>
      <c r="W8" s="45">
        <f>((W7*(2-W4/100))/(W4/100))</f>
        <v>610.89079130032405</v>
      </c>
      <c r="X8"/>
      <c r="Y8" s="45">
        <f>((Y7*(2-Y4/100))/(Y4/100))</f>
        <v>603.71277720050796</v>
      </c>
      <c r="Z8"/>
      <c r="AA8" s="45">
        <f>((AA7*(2-AA4/100))/(AA4/100))</f>
        <v>624.73421926910294</v>
      </c>
      <c r="AB8" s="18"/>
      <c r="AC8" s="18"/>
      <c r="AD8" s="42"/>
      <c r="AE8" s="18"/>
      <c r="AF8" s="18"/>
      <c r="AG8" s="18"/>
    </row>
    <row r="9" spans="1:33" ht="14.4" x14ac:dyDescent="0.3">
      <c r="A9" s="23">
        <f t="shared" si="0"/>
        <v>0</v>
      </c>
      <c r="B9" s="24">
        <v>0</v>
      </c>
      <c r="C9" s="25">
        <v>7</v>
      </c>
      <c r="D9" s="6" t="s">
        <v>47</v>
      </c>
      <c r="E9" s="26">
        <v>0</v>
      </c>
      <c r="F9" s="26">
        <v>0</v>
      </c>
      <c r="G9" s="46">
        <f t="shared" si="4"/>
        <v>0</v>
      </c>
      <c r="H9" s="26">
        <f t="shared" si="1"/>
        <v>0</v>
      </c>
      <c r="I9" s="27">
        <v>0</v>
      </c>
      <c r="J9" s="28">
        <f>I9/I17*100</f>
        <v>0</v>
      </c>
      <c r="K9" s="29">
        <f t="shared" si="2"/>
        <v>0</v>
      </c>
      <c r="L9" s="6">
        <v>93</v>
      </c>
      <c r="M9" s="36">
        <f>+M5+M7</f>
        <v>750.85628350755042</v>
      </c>
      <c r="N9" s="36">
        <f>+N5+N7</f>
        <v>723.46595786208559</v>
      </c>
      <c r="O9" s="36">
        <f>+N9-M9</f>
        <v>-27.390325645464827</v>
      </c>
      <c r="P9" s="36"/>
      <c r="Q9" s="6">
        <v>0</v>
      </c>
      <c r="R9" s="29">
        <f t="shared" si="3"/>
        <v>0</v>
      </c>
      <c r="S9" s="31" t="s">
        <v>48</v>
      </c>
      <c r="T9" s="32" t="s">
        <v>46</v>
      </c>
      <c r="U9" s="47">
        <f>((U7*(2-U4/100))/(U4/100))</f>
        <v>603.71277720050796</v>
      </c>
      <c r="V9" s="38" t="s">
        <v>49</v>
      </c>
      <c r="W9" s="45">
        <v>24</v>
      </c>
      <c r="X9"/>
      <c r="Y9" s="45">
        <v>24</v>
      </c>
      <c r="Z9"/>
      <c r="AA9" s="45">
        <v>24</v>
      </c>
      <c r="AB9" s="18"/>
      <c r="AC9" s="18"/>
      <c r="AD9" s="42"/>
      <c r="AE9" s="18"/>
      <c r="AF9" s="18"/>
      <c r="AG9" s="18"/>
    </row>
    <row r="10" spans="1:33" ht="14.4" x14ac:dyDescent="0.3">
      <c r="A10" s="23">
        <f t="shared" si="0"/>
        <v>0</v>
      </c>
      <c r="B10" s="24">
        <v>0</v>
      </c>
      <c r="C10" s="25">
        <v>8</v>
      </c>
      <c r="D10" s="6" t="s">
        <v>50</v>
      </c>
      <c r="E10" s="26">
        <v>0</v>
      </c>
      <c r="F10" s="26">
        <v>0</v>
      </c>
      <c r="G10" s="27">
        <f t="shared" si="4"/>
        <v>0</v>
      </c>
      <c r="H10" s="26">
        <f t="shared" si="1"/>
        <v>0</v>
      </c>
      <c r="I10" s="27">
        <v>0</v>
      </c>
      <c r="J10" s="28">
        <f>I10/I17*100</f>
        <v>0</v>
      </c>
      <c r="K10" s="29">
        <f t="shared" si="2"/>
        <v>0</v>
      </c>
      <c r="L10" s="6">
        <v>70</v>
      </c>
      <c r="M10" s="6"/>
      <c r="N10" s="6"/>
      <c r="O10" s="6"/>
      <c r="P10" s="6"/>
      <c r="Q10" s="6">
        <v>0</v>
      </c>
      <c r="R10" s="29">
        <f t="shared" si="3"/>
        <v>0</v>
      </c>
      <c r="S10" s="31" t="s">
        <v>51</v>
      </c>
      <c r="T10" s="32" t="s">
        <v>49</v>
      </c>
      <c r="U10" s="47">
        <v>24</v>
      </c>
      <c r="V10" s="38" t="s">
        <v>52</v>
      </c>
      <c r="W10" s="45">
        <v>20</v>
      </c>
      <c r="X10"/>
      <c r="Y10" s="45">
        <f>U11</f>
        <v>28.753180661577609</v>
      </c>
      <c r="Z10"/>
      <c r="AA10" s="45">
        <v>25</v>
      </c>
      <c r="AB10" s="18"/>
      <c r="AC10" s="18"/>
      <c r="AD10" s="42"/>
      <c r="AE10" s="18"/>
      <c r="AF10" s="18"/>
      <c r="AG10" s="18"/>
    </row>
    <row r="11" spans="1:33" ht="14.4" x14ac:dyDescent="0.3">
      <c r="A11" s="23">
        <f t="shared" si="0"/>
        <v>5</v>
      </c>
      <c r="B11" s="24">
        <v>5</v>
      </c>
      <c r="C11" s="25">
        <v>9</v>
      </c>
      <c r="D11" s="6" t="s">
        <v>53</v>
      </c>
      <c r="E11" s="26">
        <v>0</v>
      </c>
      <c r="F11" s="26">
        <v>0</v>
      </c>
      <c r="G11" s="27">
        <f>E11+F11</f>
        <v>0</v>
      </c>
      <c r="H11" s="26">
        <f t="shared" si="1"/>
        <v>0</v>
      </c>
      <c r="I11" s="27">
        <v>0</v>
      </c>
      <c r="J11" s="28">
        <f>I11/I17*100</f>
        <v>0</v>
      </c>
      <c r="K11" s="29">
        <f t="shared" si="2"/>
        <v>0</v>
      </c>
      <c r="L11" s="6">
        <v>98</v>
      </c>
      <c r="M11" s="6"/>
      <c r="N11" s="6"/>
      <c r="O11" s="6"/>
      <c r="P11" s="6"/>
      <c r="Q11" s="6">
        <v>0</v>
      </c>
      <c r="R11" s="29">
        <f t="shared" si="3"/>
        <v>0</v>
      </c>
      <c r="S11" s="31"/>
      <c r="T11" s="32" t="s">
        <v>54</v>
      </c>
      <c r="U11" s="47">
        <f>J5+J4</f>
        <v>28.753180661577609</v>
      </c>
      <c r="V11" s="38" t="s">
        <v>55</v>
      </c>
      <c r="W11" s="45">
        <f>SUM(W8:W10)</f>
        <v>654.89079130032405</v>
      </c>
      <c r="X11"/>
      <c r="Y11" s="45">
        <f>SUM(Y8:Y10)</f>
        <v>656.46595786208559</v>
      </c>
      <c r="Z11"/>
      <c r="AA11" s="45">
        <f>SUM(AA8:AA10)</f>
        <v>673.73421926910294</v>
      </c>
      <c r="AB11" s="18"/>
      <c r="AC11" s="18"/>
      <c r="AD11" s="42"/>
      <c r="AE11" s="18"/>
      <c r="AF11" s="18"/>
      <c r="AG11" s="18"/>
    </row>
    <row r="12" spans="1:33" ht="14.4" x14ac:dyDescent="0.3">
      <c r="A12" s="48">
        <f>+B12-H12</f>
        <v>35.18100000000004</v>
      </c>
      <c r="B12" s="24">
        <v>1190</v>
      </c>
      <c r="C12" s="25">
        <v>10</v>
      </c>
      <c r="D12" s="6" t="s">
        <v>56</v>
      </c>
      <c r="E12" s="49">
        <v>1039.2190000000001</v>
      </c>
      <c r="F12" s="26">
        <v>280.60000000000002</v>
      </c>
      <c r="G12" s="27">
        <f>E12+F12</f>
        <v>1319.819</v>
      </c>
      <c r="H12" s="49">
        <f>G12-I12</f>
        <v>1154.819</v>
      </c>
      <c r="I12" s="46">
        <v>165</v>
      </c>
      <c r="J12" s="28">
        <f>I12/I17*100</f>
        <v>41.984732824427482</v>
      </c>
      <c r="K12" s="29">
        <f t="shared" si="2"/>
        <v>39.045801526717561</v>
      </c>
      <c r="L12" s="6">
        <v>93</v>
      </c>
      <c r="M12" s="36"/>
      <c r="N12" s="6"/>
      <c r="O12" s="6"/>
      <c r="P12" s="6"/>
      <c r="Q12" s="6">
        <v>48</v>
      </c>
      <c r="R12" s="29">
        <f t="shared" si="3"/>
        <v>6.015267175572518</v>
      </c>
      <c r="S12" s="31" t="s">
        <v>57</v>
      </c>
      <c r="T12" s="32" t="s">
        <v>55</v>
      </c>
      <c r="U12" s="47">
        <f>U9+U10+U11</f>
        <v>656.46595786208559</v>
      </c>
      <c r="V12" s="38" t="s">
        <v>58</v>
      </c>
      <c r="W12" s="50">
        <v>16</v>
      </c>
      <c r="X12"/>
      <c r="Y12" s="50">
        <v>16</v>
      </c>
      <c r="Z12"/>
      <c r="AA12" s="50">
        <v>16</v>
      </c>
      <c r="AB12" s="18"/>
      <c r="AC12" s="18"/>
      <c r="AD12" s="42"/>
      <c r="AE12" s="18"/>
      <c r="AF12" s="18"/>
      <c r="AG12" s="18"/>
    </row>
    <row r="13" spans="1:33" ht="14.4" x14ac:dyDescent="0.3">
      <c r="A13" s="23">
        <f t="shared" si="0"/>
        <v>-0.98000000000000398</v>
      </c>
      <c r="B13" s="24">
        <v>44</v>
      </c>
      <c r="C13" s="25">
        <v>11</v>
      </c>
      <c r="D13" s="6" t="s">
        <v>60</v>
      </c>
      <c r="E13" s="26">
        <v>21.85</v>
      </c>
      <c r="F13" s="26">
        <v>33.130000000000003</v>
      </c>
      <c r="G13" s="27">
        <f>E13+F13</f>
        <v>54.980000000000004</v>
      </c>
      <c r="H13" s="26">
        <f>G13-I13</f>
        <v>44.980000000000004</v>
      </c>
      <c r="I13" s="27">
        <v>10</v>
      </c>
      <c r="J13" s="28">
        <f>I13/I17*100</f>
        <v>2.5445292620865136</v>
      </c>
      <c r="K13" s="29">
        <f t="shared" si="2"/>
        <v>1.7465648854961831</v>
      </c>
      <c r="L13" s="6">
        <v>68.64</v>
      </c>
      <c r="M13" s="24" t="s">
        <v>61</v>
      </c>
      <c r="N13" s="6">
        <v>12</v>
      </c>
      <c r="O13" s="6" t="s">
        <v>62</v>
      </c>
      <c r="P13" s="53"/>
      <c r="Q13" s="6">
        <v>2</v>
      </c>
      <c r="R13" s="29">
        <f t="shared" si="3"/>
        <v>-0.54452926208651364</v>
      </c>
      <c r="S13" s="31">
        <v>5</v>
      </c>
      <c r="T13" s="32" t="s">
        <v>58</v>
      </c>
      <c r="U13" s="24">
        <v>20</v>
      </c>
      <c r="V13" s="38" t="s">
        <v>63</v>
      </c>
      <c r="W13" s="34">
        <v>10060</v>
      </c>
      <c r="X13"/>
      <c r="Y13" s="34">
        <v>10670</v>
      </c>
      <c r="Z13"/>
      <c r="AA13" s="34">
        <v>12000</v>
      </c>
      <c r="AB13" s="18"/>
      <c r="AC13" s="18"/>
      <c r="AD13" s="42"/>
      <c r="AE13" s="18"/>
      <c r="AF13" s="18"/>
      <c r="AG13" s="18"/>
    </row>
    <row r="14" spans="1:33" ht="14.4" x14ac:dyDescent="0.3">
      <c r="A14" s="23">
        <f t="shared" si="0"/>
        <v>-8.3700000000000045</v>
      </c>
      <c r="B14" s="24">
        <v>69</v>
      </c>
      <c r="C14" s="25">
        <v>12</v>
      </c>
      <c r="D14" s="6" t="s">
        <v>64</v>
      </c>
      <c r="E14" s="26">
        <v>80.45</v>
      </c>
      <c r="F14" s="26">
        <v>26.92</v>
      </c>
      <c r="G14" s="27">
        <f>E14+F14</f>
        <v>107.37</v>
      </c>
      <c r="H14" s="26">
        <f t="shared" si="1"/>
        <v>77.37</v>
      </c>
      <c r="I14" s="27">
        <v>30</v>
      </c>
      <c r="J14" s="28">
        <f>I14/I17*100</f>
        <v>7.6335877862595423</v>
      </c>
      <c r="K14" s="29">
        <f>+J14*L14%</f>
        <v>7.4809160305343516</v>
      </c>
      <c r="L14" s="6">
        <v>98</v>
      </c>
      <c r="M14" s="6"/>
      <c r="N14" s="6"/>
      <c r="O14" s="6"/>
      <c r="P14" s="30"/>
      <c r="Q14" s="6">
        <v>3</v>
      </c>
      <c r="R14" s="29">
        <f t="shared" si="3"/>
        <v>-4.6335877862595423</v>
      </c>
      <c r="S14" s="31">
        <v>6</v>
      </c>
      <c r="T14" s="32" t="s">
        <v>63</v>
      </c>
      <c r="U14" s="24">
        <v>12000</v>
      </c>
      <c r="V14" s="38" t="s">
        <v>65</v>
      </c>
      <c r="W14" s="54">
        <v>0.92</v>
      </c>
      <c r="X14"/>
      <c r="Y14" s="54">
        <v>0.92</v>
      </c>
      <c r="Z14"/>
      <c r="AA14" s="54">
        <v>0.92</v>
      </c>
      <c r="AB14" s="18"/>
      <c r="AC14" s="18"/>
      <c r="AD14" s="42"/>
      <c r="AE14" s="18"/>
      <c r="AF14" s="18"/>
      <c r="AG14" s="18"/>
    </row>
    <row r="15" spans="1:33" ht="14.4" x14ac:dyDescent="0.3">
      <c r="A15" s="23">
        <f t="shared" si="0"/>
        <v>0</v>
      </c>
      <c r="B15" s="24">
        <v>0</v>
      </c>
      <c r="C15" s="25">
        <v>13</v>
      </c>
      <c r="D15" s="6" t="s">
        <v>1</v>
      </c>
      <c r="E15" s="26">
        <v>0</v>
      </c>
      <c r="F15" s="26">
        <v>0</v>
      </c>
      <c r="G15" s="27">
        <f>E15+F15</f>
        <v>0</v>
      </c>
      <c r="H15" s="26">
        <f>G15-I15</f>
        <v>0</v>
      </c>
      <c r="I15" s="27">
        <v>0</v>
      </c>
      <c r="J15" s="28">
        <f>I15/I17*100</f>
        <v>0</v>
      </c>
      <c r="K15" s="29">
        <f>J15*L15</f>
        <v>0</v>
      </c>
      <c r="L15" s="55">
        <v>0.98</v>
      </c>
      <c r="M15" s="6"/>
      <c r="N15" s="6"/>
      <c r="O15" s="6"/>
      <c r="P15" s="30"/>
      <c r="Q15" s="6"/>
      <c r="R15" s="29"/>
      <c r="S15" s="31"/>
      <c r="T15" s="32"/>
      <c r="U15" s="24"/>
      <c r="V15" s="38"/>
      <c r="W15" s="54"/>
      <c r="X15"/>
      <c r="Y15" s="54"/>
      <c r="Z15"/>
      <c r="AA15" s="54"/>
      <c r="AB15" s="18"/>
      <c r="AC15" s="18"/>
      <c r="AD15" s="42"/>
      <c r="AE15" s="18"/>
      <c r="AF15" s="18"/>
      <c r="AG15" s="18"/>
    </row>
    <row r="16" spans="1:33" ht="14.4" x14ac:dyDescent="0.3">
      <c r="A16" s="23">
        <f>+B16-H16</f>
        <v>-6.39</v>
      </c>
      <c r="B16" s="24">
        <v>1</v>
      </c>
      <c r="C16" s="25">
        <v>14</v>
      </c>
      <c r="D16" s="6" t="s">
        <v>66</v>
      </c>
      <c r="E16" s="26">
        <v>7.39</v>
      </c>
      <c r="F16" s="26">
        <v>0</v>
      </c>
      <c r="G16" s="27">
        <f t="shared" si="4"/>
        <v>7.39</v>
      </c>
      <c r="H16" s="26">
        <f t="shared" si="1"/>
        <v>7.39</v>
      </c>
      <c r="I16" s="27">
        <v>0</v>
      </c>
      <c r="J16" s="28">
        <f>I16/I17*100</f>
        <v>0</v>
      </c>
      <c r="K16" s="29">
        <f>+J16*L16%</f>
        <v>0</v>
      </c>
      <c r="L16" s="6">
        <v>94</v>
      </c>
      <c r="M16" s="8" t="s">
        <v>67</v>
      </c>
      <c r="N16" s="6" t="s">
        <v>68</v>
      </c>
      <c r="O16" s="36" t="s">
        <v>69</v>
      </c>
      <c r="P16" s="6"/>
      <c r="Q16" s="6"/>
      <c r="R16" s="29"/>
      <c r="S16" s="31">
        <v>7</v>
      </c>
      <c r="T16" s="32" t="s">
        <v>65</v>
      </c>
      <c r="U16" s="56">
        <v>0.9</v>
      </c>
      <c r="V16" s="57" t="s">
        <v>70</v>
      </c>
      <c r="W16" s="58">
        <f>(W13*W14)/(W11-W10)</f>
        <v>14.577625202350729</v>
      </c>
      <c r="X16"/>
      <c r="Y16" s="58">
        <f>(Y13*Y14)/(Y11-Y10)</f>
        <v>15.638362570504732</v>
      </c>
      <c r="Z16"/>
      <c r="AA16" s="58">
        <f>(AA13*AA14)/(AA11-AA10)</f>
        <v>17.017754994392352</v>
      </c>
      <c r="AB16" s="18"/>
      <c r="AC16" s="18"/>
      <c r="AD16" s="42"/>
      <c r="AE16" s="18"/>
      <c r="AF16" s="18"/>
      <c r="AG16" s="18"/>
    </row>
    <row r="17" spans="1:33" ht="14.4" x14ac:dyDescent="0.3">
      <c r="A17" s="59">
        <f>+B17-H17</f>
        <v>66.445999999999913</v>
      </c>
      <c r="B17" s="6">
        <f>SUM(B3:B14)+B16</f>
        <v>2698</v>
      </c>
      <c r="C17" s="8"/>
      <c r="D17" s="6" t="s">
        <v>10</v>
      </c>
      <c r="E17" s="26">
        <f>SUM(E3:E16)</f>
        <v>2477.2939999999999</v>
      </c>
      <c r="F17" s="27">
        <f>SUM(F3:F16)</f>
        <v>547.26</v>
      </c>
      <c r="G17" s="27">
        <f>E17+F17</f>
        <v>3024.5540000000001</v>
      </c>
      <c r="H17" s="26">
        <f>SUM(H3:H16)</f>
        <v>2631.5540000000001</v>
      </c>
      <c r="I17" s="27">
        <f>SUM(I3:I16)</f>
        <v>393</v>
      </c>
      <c r="J17" s="28">
        <f>SUM(J3:J16)</f>
        <v>100</v>
      </c>
      <c r="K17" s="29">
        <f>SUM(K3:K16)</f>
        <v>85.788753180661573</v>
      </c>
      <c r="L17" s="6"/>
      <c r="M17" s="30">
        <f>+O2/I17*100</f>
        <v>85.953435114503819</v>
      </c>
      <c r="N17" s="60">
        <f>+K17</f>
        <v>85.788753180661573</v>
      </c>
      <c r="O17" s="27">
        <f>+M17-N17</f>
        <v>0.16468193384224605</v>
      </c>
      <c r="P17" s="36">
        <f>1036+27</f>
        <v>1063</v>
      </c>
      <c r="Q17" s="6">
        <f>SUM(Q3:Q16)</f>
        <v>100</v>
      </c>
      <c r="R17" s="29">
        <f t="shared" si="3"/>
        <v>0</v>
      </c>
      <c r="S17" s="31">
        <v>8</v>
      </c>
      <c r="T17" s="32" t="s">
        <v>70</v>
      </c>
      <c r="U17" s="61">
        <f>(U14*U16)/(U12-U11)</f>
        <v>17.205321274749512</v>
      </c>
      <c r="V17" s="38" t="s">
        <v>71</v>
      </c>
      <c r="W17" s="50">
        <v>34</v>
      </c>
      <c r="X17"/>
      <c r="Y17" s="50">
        <v>34</v>
      </c>
      <c r="Z17"/>
      <c r="AA17" s="50">
        <v>34</v>
      </c>
      <c r="AB17" s="18"/>
      <c r="AC17" s="18"/>
      <c r="AD17" s="18"/>
      <c r="AE17" s="18"/>
      <c r="AF17" s="18"/>
      <c r="AG17" s="18"/>
    </row>
    <row r="18" spans="1:33" ht="14.4" x14ac:dyDescent="0.3">
      <c r="A18" s="62"/>
      <c r="B18" s="63">
        <f>+H17-B17</f>
        <v>-66.445999999999913</v>
      </c>
      <c r="C18" s="8"/>
      <c r="D18" s="6"/>
      <c r="E18" s="26"/>
      <c r="F18" s="27"/>
      <c r="G18" s="27"/>
      <c r="H18" s="26"/>
      <c r="I18" s="27"/>
      <c r="J18" s="28" t="s">
        <v>72</v>
      </c>
      <c r="K18" s="64">
        <f>P2/M3</f>
        <v>1.8443029393393075E-2</v>
      </c>
      <c r="L18" s="6"/>
      <c r="M18" s="30"/>
      <c r="N18" s="60"/>
      <c r="O18" s="27"/>
      <c r="P18" s="36">
        <f>+P17-P19</f>
        <v>-176.57899999999995</v>
      </c>
      <c r="Q18" s="6"/>
      <c r="R18" s="29"/>
      <c r="S18" s="31"/>
      <c r="T18" s="32"/>
      <c r="U18" s="61"/>
      <c r="V18" s="38"/>
      <c r="W18" s="50"/>
      <c r="X18"/>
      <c r="Y18" s="50"/>
      <c r="Z18"/>
      <c r="AA18" s="50"/>
      <c r="AB18" s="18"/>
      <c r="AC18" s="18"/>
      <c r="AD18" s="18"/>
      <c r="AE18" s="18"/>
      <c r="AF18" s="18"/>
      <c r="AG18" s="18"/>
    </row>
    <row r="19" spans="1:33" ht="23.4" x14ac:dyDescent="0.45">
      <c r="A19" s="6">
        <f>B3+B4+B5+B13</f>
        <v>989</v>
      </c>
      <c r="B19" s="6">
        <f>B12+B14+B16</f>
        <v>1260</v>
      </c>
      <c r="C19" s="8"/>
      <c r="D19" s="6" t="s">
        <v>73</v>
      </c>
      <c r="E19" s="27">
        <v>0</v>
      </c>
      <c r="F19" s="27">
        <v>0</v>
      </c>
      <c r="G19" s="27">
        <f>+E19+F19</f>
        <v>0</v>
      </c>
      <c r="H19" s="27">
        <f>G19-I19</f>
        <v>0</v>
      </c>
      <c r="I19" s="27">
        <f>F19</f>
        <v>0</v>
      </c>
      <c r="J19" s="65"/>
      <c r="K19" s="29"/>
      <c r="L19" s="6" t="s">
        <v>74</v>
      </c>
      <c r="M19" s="25" t="s">
        <v>75</v>
      </c>
      <c r="N19" s="66">
        <f>H3+H4+H5+H13+H10</f>
        <v>988.08000000000015</v>
      </c>
      <c r="O19" s="65" t="s">
        <v>76</v>
      </c>
      <c r="P19" s="67">
        <f>H12+H14+H16</f>
        <v>1239.579</v>
      </c>
      <c r="Q19" s="27">
        <f>+P19+N19</f>
        <v>2227.6590000000001</v>
      </c>
      <c r="R19" s="68"/>
      <c r="S19" s="31">
        <v>9</v>
      </c>
      <c r="T19" s="32" t="s">
        <v>71</v>
      </c>
      <c r="U19" s="24">
        <v>34</v>
      </c>
      <c r="V19" s="38" t="s">
        <v>77</v>
      </c>
      <c r="W19" s="69">
        <f>W17*60/W16</f>
        <v>139.94048904968676</v>
      </c>
      <c r="X19"/>
      <c r="Y19" s="69">
        <f>Y17*60/Y16</f>
        <v>130.4484399055699</v>
      </c>
      <c r="Z19"/>
      <c r="AA19" s="69">
        <f>AA17*60/AA16</f>
        <v>119.87480138668207</v>
      </c>
      <c r="AB19" s="18"/>
      <c r="AC19" s="18"/>
      <c r="AD19" s="18"/>
      <c r="AE19" s="18"/>
      <c r="AF19" s="18"/>
      <c r="AG19" s="18"/>
    </row>
    <row r="20" spans="1:33" ht="14.4" x14ac:dyDescent="0.3">
      <c r="A20" s="63">
        <f>A19-N19</f>
        <v>0.91999999999984539</v>
      </c>
      <c r="B20" s="70">
        <f>B19-P19</f>
        <v>20.421000000000049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31">
        <v>10</v>
      </c>
      <c r="T20" s="32" t="s">
        <v>77</v>
      </c>
      <c r="U20" s="71">
        <f>U19*60/U17</f>
        <v>118.56796902676261</v>
      </c>
      <c r="V20" s="57" t="s">
        <v>78</v>
      </c>
      <c r="W20" s="72">
        <v>5</v>
      </c>
      <c r="X20"/>
      <c r="Y20" s="72">
        <v>12</v>
      </c>
      <c r="Z20"/>
      <c r="AA20" s="72">
        <v>15</v>
      </c>
      <c r="AB20" s="18"/>
      <c r="AC20" s="18"/>
      <c r="AD20" s="18"/>
      <c r="AE20" s="18"/>
      <c r="AF20" s="18"/>
      <c r="AG20" s="18"/>
    </row>
    <row r="21" spans="1:33" ht="42" x14ac:dyDescent="0.3">
      <c r="A21" s="73"/>
      <c r="B21" s="74"/>
      <c r="C21" s="74"/>
      <c r="H21" s="2"/>
      <c r="S21" s="8">
        <v>11</v>
      </c>
      <c r="T21" s="32" t="s">
        <v>78</v>
      </c>
      <c r="U21" s="75">
        <v>6</v>
      </c>
      <c r="V21" s="57" t="s">
        <v>79</v>
      </c>
      <c r="W21" s="72">
        <f>W20+W19</f>
        <v>144.94048904968676</v>
      </c>
      <c r="X21"/>
      <c r="Y21" s="72">
        <f>Y20+Y19</f>
        <v>142.4484399055699</v>
      </c>
      <c r="Z21"/>
      <c r="AA21" s="72">
        <f>AA20+AA19</f>
        <v>134.87480138668207</v>
      </c>
      <c r="AB21" s="18"/>
      <c r="AC21" s="18"/>
      <c r="AD21" s="18"/>
      <c r="AE21" s="18"/>
      <c r="AF21" s="18"/>
      <c r="AG21" s="18"/>
    </row>
    <row r="22" spans="1:33" s="82" customFormat="1" ht="14.4" x14ac:dyDescent="0.3">
      <c r="A22" s="76"/>
      <c r="B22" s="77">
        <f>A12+A16</f>
        <v>28.791000000000039</v>
      </c>
      <c r="C22" s="78"/>
      <c r="D22" s="2"/>
      <c r="E22" s="79">
        <f>H12+H14+H16</f>
        <v>1239.579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6">
        <v>12</v>
      </c>
      <c r="T22" s="32" t="s">
        <v>79</v>
      </c>
      <c r="U22" s="71">
        <f>U21+U20</f>
        <v>124.56796902676261</v>
      </c>
      <c r="V22" s="38" t="s">
        <v>80</v>
      </c>
      <c r="W22" s="80">
        <f>24*60/W21</f>
        <v>9.9351120548955549</v>
      </c>
      <c r="X22"/>
      <c r="Y22" s="80">
        <f>24*60/Y21</f>
        <v>10.108920820435706</v>
      </c>
      <c r="Z22"/>
      <c r="AA22" s="80">
        <f>24*60/AA21</f>
        <v>10.676568085327983</v>
      </c>
      <c r="AB22" s="81"/>
      <c r="AC22" s="81"/>
      <c r="AD22" s="81"/>
      <c r="AE22" s="81"/>
      <c r="AF22" s="81"/>
      <c r="AG22" s="81"/>
    </row>
    <row r="23" spans="1:33" ht="14.4" x14ac:dyDescent="0.3">
      <c r="A23" s="83"/>
      <c r="B23" s="84"/>
      <c r="C23" s="84"/>
      <c r="E23" s="2">
        <f>B12+B14+B16</f>
        <v>1260</v>
      </c>
      <c r="H23" s="2"/>
      <c r="S23" s="6">
        <v>13</v>
      </c>
      <c r="T23" s="32" t="s">
        <v>80</v>
      </c>
      <c r="U23" s="85">
        <f>24*60/U22</f>
        <v>11.559954065644479</v>
      </c>
      <c r="V23" s="57" t="s">
        <v>81</v>
      </c>
      <c r="W23" s="86">
        <f>W22*W17</f>
        <v>337.7938098664489</v>
      </c>
      <c r="X23"/>
      <c r="Y23" s="86">
        <f>Y22*Y17</f>
        <v>343.70330789481403</v>
      </c>
      <c r="Z23"/>
      <c r="AA23" s="86">
        <f>AA22*AA17</f>
        <v>363.00331490115138</v>
      </c>
      <c r="AB23" s="18"/>
      <c r="AC23" s="18"/>
      <c r="AD23" s="18"/>
      <c r="AE23" s="18"/>
      <c r="AF23" s="18"/>
      <c r="AG23" s="18"/>
    </row>
    <row r="24" spans="1:33" ht="15" thickBot="1" x14ac:dyDescent="0.35">
      <c r="A24" s="73"/>
      <c r="B24" s="74"/>
      <c r="C24" s="87"/>
      <c r="E24" s="79">
        <f>E23-E22</f>
        <v>20.421000000000049</v>
      </c>
      <c r="H24" s="2"/>
      <c r="S24" s="6">
        <v>14</v>
      </c>
      <c r="T24" s="88" t="s">
        <v>81</v>
      </c>
      <c r="U24" s="89">
        <f>U23*U19</f>
        <v>393.03843823191232</v>
      </c>
      <c r="V24" s="57" t="s">
        <v>82</v>
      </c>
      <c r="W24" s="3">
        <v>65</v>
      </c>
      <c r="X24"/>
      <c r="Y24" s="90">
        <f>+W23*W24/Y23</f>
        <v>63.88241584232501</v>
      </c>
      <c r="Z24" s="91"/>
      <c r="AA24" s="90">
        <f>+Y23*Y24/AA23</f>
        <v>60.485942524514222</v>
      </c>
      <c r="AB24" s="18"/>
      <c r="AC24" s="18"/>
      <c r="AD24" s="18"/>
      <c r="AE24" s="18"/>
      <c r="AF24" s="18"/>
      <c r="AG24" s="18"/>
    </row>
    <row r="25" spans="1:33" ht="13.8" x14ac:dyDescent="0.3">
      <c r="A25" s="83"/>
      <c r="B25" s="92"/>
      <c r="C25" s="87"/>
      <c r="H25" s="2"/>
      <c r="S25" s="18"/>
      <c r="T25" s="93"/>
      <c r="U25" s="94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1:33" ht="13.8" x14ac:dyDescent="0.3">
      <c r="A26" s="83"/>
      <c r="B26" s="95"/>
      <c r="C26" s="87"/>
      <c r="H26" s="2"/>
      <c r="S26" s="18"/>
      <c r="T26" s="81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 x14ac:dyDescent="0.2">
      <c r="C27" s="81"/>
      <c r="S27" s="18"/>
      <c r="T27" s="81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 x14ac:dyDescent="0.2">
      <c r="C28" s="81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</sheetData>
  <mergeCells count="3">
    <mergeCell ref="A1:N1"/>
    <mergeCell ref="T1:U1"/>
    <mergeCell ref="C20:R2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3B37-E738-415C-A31F-57A4E5330F9A}">
  <dimension ref="A1:AG28"/>
  <sheetViews>
    <sheetView tabSelected="1" zoomScale="141" zoomScaleNormal="141" workbookViewId="0">
      <selection activeCell="A17" sqref="A17"/>
    </sheetView>
  </sheetViews>
  <sheetFormatPr defaultColWidth="9.109375" defaultRowHeight="10.199999999999999" x14ac:dyDescent="0.2"/>
  <cols>
    <col min="1" max="1" width="14.109375" style="2" bestFit="1" customWidth="1"/>
    <col min="2" max="2" width="7.88671875" style="2" bestFit="1" customWidth="1"/>
    <col min="3" max="3" width="8.44140625" style="82" bestFit="1" customWidth="1"/>
    <col min="4" max="4" width="17.5546875" style="2" bestFit="1" customWidth="1"/>
    <col min="5" max="5" width="10.88671875" style="2" bestFit="1" customWidth="1"/>
    <col min="6" max="6" width="7.33203125" style="2" bestFit="1" customWidth="1"/>
    <col min="7" max="7" width="9.109375" style="2"/>
    <col min="8" max="8" width="10" style="82" customWidth="1"/>
    <col min="9" max="9" width="9.5546875" style="2" bestFit="1" customWidth="1"/>
    <col min="10" max="10" width="10.44140625" style="2" bestFit="1" customWidth="1"/>
    <col min="11" max="11" width="12" style="2" customWidth="1"/>
    <col min="12" max="12" width="10.109375" style="2" bestFit="1" customWidth="1"/>
    <col min="13" max="13" width="10.5546875" style="2" bestFit="1" customWidth="1"/>
    <col min="14" max="14" width="15" style="2" customWidth="1"/>
    <col min="15" max="15" width="12.109375" style="2" customWidth="1"/>
    <col min="16" max="16" width="15.33203125" style="2" customWidth="1"/>
    <col min="17" max="17" width="7.44140625" style="2" bestFit="1" customWidth="1"/>
    <col min="18" max="18" width="7.6640625" style="2" customWidth="1"/>
    <col min="19" max="19" width="5.33203125" style="2" bestFit="1" customWidth="1"/>
    <col min="20" max="20" width="27.5546875" style="82" customWidth="1"/>
    <col min="21" max="21" width="11.44140625" style="2" bestFit="1" customWidth="1"/>
    <col min="22" max="22" width="30.88671875" style="2" customWidth="1"/>
    <col min="23" max="23" width="11.44140625" style="2" bestFit="1" customWidth="1"/>
    <col min="24" max="24" width="6.109375" style="2" bestFit="1" customWidth="1"/>
    <col min="25" max="25" width="11.44140625" style="2" bestFit="1" customWidth="1"/>
    <col min="26" max="26" width="5.44140625" style="2" bestFit="1" customWidth="1"/>
    <col min="27" max="27" width="11.44140625" style="2" bestFit="1" customWidth="1"/>
    <col min="28" max="28" width="6.6640625" style="2" bestFit="1" customWidth="1"/>
    <col min="29" max="29" width="5.5546875" style="2" bestFit="1" customWidth="1"/>
    <col min="30" max="30" width="7" style="2" bestFit="1" customWidth="1"/>
    <col min="31" max="31" width="4.44140625" style="2" bestFit="1" customWidth="1"/>
    <col min="32" max="16384" width="9.109375" style="2"/>
  </cols>
  <sheetData>
    <row r="1" spans="1:33" ht="15" thickBot="1" x14ac:dyDescent="0.35">
      <c r="A1" s="96" t="s">
        <v>98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1" t="s">
        <v>0</v>
      </c>
      <c r="P1" s="1" t="s">
        <v>1</v>
      </c>
      <c r="Q1" s="1"/>
      <c r="R1" s="1"/>
      <c r="T1" s="97" t="s">
        <v>2</v>
      </c>
      <c r="U1" s="98"/>
      <c r="V1" s="3" t="s">
        <v>3</v>
      </c>
      <c r="W1" s="4">
        <v>0.5</v>
      </c>
      <c r="X1"/>
      <c r="Y1" s="5">
        <v>0.4</v>
      </c>
      <c r="Z1"/>
      <c r="AA1" s="5">
        <v>0.3</v>
      </c>
    </row>
    <row r="2" spans="1:33" ht="14.4" x14ac:dyDescent="0.3">
      <c r="A2" s="6" t="s">
        <v>4</v>
      </c>
      <c r="B2" s="7" t="s">
        <v>5</v>
      </c>
      <c r="C2" s="8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8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9" t="s">
        <v>17</v>
      </c>
      <c r="O2" s="10">
        <v>409.07799999999997</v>
      </c>
      <c r="P2" s="11">
        <v>5.77</v>
      </c>
      <c r="Q2" s="6" t="s">
        <v>18</v>
      </c>
      <c r="R2" s="6" t="s">
        <v>19</v>
      </c>
      <c r="S2" s="12" t="s">
        <v>20</v>
      </c>
      <c r="T2" s="13" t="s">
        <v>21</v>
      </c>
      <c r="U2" s="14" t="s">
        <v>22</v>
      </c>
      <c r="V2" s="15" t="s">
        <v>21</v>
      </c>
      <c r="W2" s="16" t="s">
        <v>22</v>
      </c>
      <c r="X2"/>
      <c r="Y2" s="17" t="s">
        <v>22</v>
      </c>
      <c r="Z2"/>
      <c r="AA2" s="17" t="s">
        <v>22</v>
      </c>
      <c r="AB2" s="18"/>
      <c r="AC2" s="18"/>
      <c r="AD2" s="19"/>
      <c r="AE2" s="20"/>
      <c r="AF2" s="21"/>
      <c r="AG2" s="22"/>
    </row>
    <row r="3" spans="1:33" ht="14.4" x14ac:dyDescent="0.3">
      <c r="A3" s="23">
        <f>+B3-H3</f>
        <v>41.839999999999975</v>
      </c>
      <c r="B3" s="24">
        <v>421</v>
      </c>
      <c r="C3" s="25">
        <v>1</v>
      </c>
      <c r="D3" s="6" t="s">
        <v>23</v>
      </c>
      <c r="E3" s="26">
        <v>464.16</v>
      </c>
      <c r="F3" s="26">
        <v>0</v>
      </c>
      <c r="G3" s="27">
        <f>E3+F3</f>
        <v>464.16</v>
      </c>
      <c r="H3" s="26">
        <f>G3-I3</f>
        <v>379.16</v>
      </c>
      <c r="I3" s="27">
        <v>85</v>
      </c>
      <c r="J3" s="28">
        <f>I3/I17*100</f>
        <v>17.819706498951781</v>
      </c>
      <c r="K3" s="29">
        <f>+J3*L3%</f>
        <v>14.284276729559748</v>
      </c>
      <c r="L3" s="30">
        <v>80.16</v>
      </c>
      <c r="M3" s="27">
        <f>O2</f>
        <v>409.07799999999997</v>
      </c>
      <c r="N3" s="28">
        <f>U24</f>
        <v>391.62467761146104</v>
      </c>
      <c r="O3" s="30" t="s">
        <v>24</v>
      </c>
      <c r="P3" s="27" t="s">
        <v>25</v>
      </c>
      <c r="Q3" s="6">
        <v>16</v>
      </c>
      <c r="R3" s="29">
        <f>Q3-J3</f>
        <v>-1.8197064989517813</v>
      </c>
      <c r="S3" s="31"/>
      <c r="T3" s="32" t="s">
        <v>26</v>
      </c>
      <c r="U3" s="24">
        <v>30</v>
      </c>
      <c r="V3" s="33" t="s">
        <v>26</v>
      </c>
      <c r="W3" s="34">
        <v>30</v>
      </c>
      <c r="X3"/>
      <c r="Y3" s="34">
        <v>30</v>
      </c>
      <c r="Z3"/>
      <c r="AA3" s="34">
        <v>30</v>
      </c>
      <c r="AB3" s="18"/>
      <c r="AC3" s="18"/>
      <c r="AD3" s="18"/>
      <c r="AE3" s="35"/>
      <c r="AF3" s="18"/>
      <c r="AG3" s="18"/>
    </row>
    <row r="4" spans="1:33" ht="14.4" x14ac:dyDescent="0.3">
      <c r="A4" s="23">
        <f t="shared" ref="A4:A15" si="0">+B4-H4</f>
        <v>-59.069999999999993</v>
      </c>
      <c r="B4" s="24">
        <v>185</v>
      </c>
      <c r="C4" s="25">
        <v>2</v>
      </c>
      <c r="D4" s="6" t="s">
        <v>27</v>
      </c>
      <c r="E4" s="26">
        <v>273.63</v>
      </c>
      <c r="F4" s="26">
        <v>25.44</v>
      </c>
      <c r="G4" s="27">
        <f>E4+F4</f>
        <v>299.07</v>
      </c>
      <c r="H4" s="26">
        <f t="shared" ref="H4:H16" si="1">G4-I4</f>
        <v>244.07</v>
      </c>
      <c r="I4" s="27">
        <v>55</v>
      </c>
      <c r="J4" s="28">
        <f>I4/I17*100</f>
        <v>11.530398322851152</v>
      </c>
      <c r="K4" s="29">
        <f t="shared" ref="K4:K13" si="2">+J4*L4%</f>
        <v>8.6489517819706503</v>
      </c>
      <c r="L4" s="30">
        <v>75.010000000000005</v>
      </c>
      <c r="M4" s="6" t="s">
        <v>28</v>
      </c>
      <c r="N4" s="6" t="s">
        <v>29</v>
      </c>
      <c r="O4" s="36">
        <v>264107</v>
      </c>
      <c r="P4" s="36">
        <v>23401</v>
      </c>
      <c r="Q4" s="6">
        <v>13</v>
      </c>
      <c r="R4" s="29">
        <f t="shared" ref="R4:R17" si="3">Q4-J4</f>
        <v>1.469601677148848</v>
      </c>
      <c r="S4" s="31">
        <v>1</v>
      </c>
      <c r="T4" s="32" t="s">
        <v>30</v>
      </c>
      <c r="U4" s="37">
        <f>M17</f>
        <v>85.760587002096429</v>
      </c>
      <c r="V4" s="38" t="s">
        <v>30</v>
      </c>
      <c r="W4" s="39">
        <v>86.44</v>
      </c>
      <c r="X4"/>
      <c r="Y4" s="39">
        <f>U4</f>
        <v>85.760587002096429</v>
      </c>
      <c r="Z4"/>
      <c r="AA4" s="39">
        <v>84.28</v>
      </c>
      <c r="AB4" s="18"/>
      <c r="AC4" s="18"/>
      <c r="AD4" s="18"/>
      <c r="AE4" s="18"/>
      <c r="AF4" s="18"/>
      <c r="AG4" s="18"/>
    </row>
    <row r="5" spans="1:33" ht="14.4" x14ac:dyDescent="0.3">
      <c r="A5" s="23">
        <f t="shared" si="0"/>
        <v>8.4399999999999977</v>
      </c>
      <c r="B5" s="24">
        <v>209</v>
      </c>
      <c r="C5" s="25">
        <v>3</v>
      </c>
      <c r="D5" s="6" t="s">
        <v>31</v>
      </c>
      <c r="E5" s="26">
        <v>205.31</v>
      </c>
      <c r="F5" s="26">
        <v>85.25</v>
      </c>
      <c r="G5" s="27">
        <f>E5+F5</f>
        <v>290.56</v>
      </c>
      <c r="H5" s="26">
        <f t="shared" si="1"/>
        <v>200.56</v>
      </c>
      <c r="I5" s="27">
        <v>90</v>
      </c>
      <c r="J5" s="28">
        <f>I5/I17*100</f>
        <v>18.867924528301888</v>
      </c>
      <c r="K5" s="29">
        <f t="shared" si="2"/>
        <v>14.89433962264151</v>
      </c>
      <c r="L5" s="30">
        <v>78.94</v>
      </c>
      <c r="M5" s="36">
        <f>O4/O2</f>
        <v>645.61526163714507</v>
      </c>
      <c r="N5" s="36">
        <f>+U12</f>
        <v>660.49180624551786</v>
      </c>
      <c r="O5" s="36">
        <f>+N5-M5</f>
        <v>14.876544608372797</v>
      </c>
      <c r="P5" s="36">
        <f>+P4/O2</f>
        <v>57.20424955631934</v>
      </c>
      <c r="Q5" s="6">
        <v>18</v>
      </c>
      <c r="R5" s="29">
        <f t="shared" si="3"/>
        <v>-0.86792452830188793</v>
      </c>
      <c r="S5" s="31"/>
      <c r="T5" s="32" t="s">
        <v>32</v>
      </c>
      <c r="U5" s="40" t="s">
        <v>33</v>
      </c>
      <c r="V5" s="38" t="s">
        <v>32</v>
      </c>
      <c r="W5" s="41" t="s">
        <v>33</v>
      </c>
      <c r="X5"/>
      <c r="Y5" s="41" t="s">
        <v>33</v>
      </c>
      <c r="Z5"/>
      <c r="AA5" s="41" t="s">
        <v>33</v>
      </c>
      <c r="AB5" s="18"/>
      <c r="AC5" s="18"/>
      <c r="AD5" s="42"/>
      <c r="AE5" s="18"/>
      <c r="AF5" s="18"/>
      <c r="AG5" s="18"/>
    </row>
    <row r="6" spans="1:33" ht="14.4" x14ac:dyDescent="0.3">
      <c r="A6" s="23">
        <f t="shared" si="0"/>
        <v>30.54000000000002</v>
      </c>
      <c r="B6" s="24">
        <v>335</v>
      </c>
      <c r="C6" s="25">
        <v>4</v>
      </c>
      <c r="D6" s="6" t="s">
        <v>34</v>
      </c>
      <c r="E6" s="26">
        <v>304.45999999999998</v>
      </c>
      <c r="F6" s="26">
        <v>0</v>
      </c>
      <c r="G6" s="27">
        <f t="shared" ref="G6:G16" si="4">E6+F6</f>
        <v>304.45999999999998</v>
      </c>
      <c r="H6" s="26">
        <f>G6-I6</f>
        <v>304.45999999999998</v>
      </c>
      <c r="I6" s="27">
        <v>0</v>
      </c>
      <c r="J6" s="28">
        <f>I6/I17*100</f>
        <v>0</v>
      </c>
      <c r="K6" s="29">
        <f t="shared" si="2"/>
        <v>0</v>
      </c>
      <c r="L6" s="6">
        <v>94</v>
      </c>
      <c r="M6" s="6" t="s">
        <v>35</v>
      </c>
      <c r="N6" s="6"/>
      <c r="O6" s="6" t="s">
        <v>36</v>
      </c>
      <c r="P6" s="6">
        <v>2533</v>
      </c>
      <c r="Q6" s="6">
        <v>0</v>
      </c>
      <c r="R6" s="29">
        <f t="shared" si="3"/>
        <v>0</v>
      </c>
      <c r="S6" s="31"/>
      <c r="T6" s="32" t="s">
        <v>37</v>
      </c>
      <c r="U6" s="40" t="s">
        <v>38</v>
      </c>
      <c r="V6" s="38" t="s">
        <v>37</v>
      </c>
      <c r="W6" s="41" t="s">
        <v>39</v>
      </c>
      <c r="X6"/>
      <c r="Y6" s="41" t="s">
        <v>39</v>
      </c>
      <c r="Z6"/>
      <c r="AA6" s="41" t="s">
        <v>39</v>
      </c>
      <c r="AB6" s="43"/>
      <c r="AC6" s="44"/>
      <c r="AD6" s="44"/>
      <c r="AE6" s="44"/>
      <c r="AF6" s="18"/>
      <c r="AG6" s="18"/>
    </row>
    <row r="7" spans="1:33" ht="14.4" x14ac:dyDescent="0.3">
      <c r="A7" s="23">
        <v>0</v>
      </c>
      <c r="B7" s="24">
        <v>0</v>
      </c>
      <c r="C7" s="25">
        <v>5</v>
      </c>
      <c r="D7" s="6" t="s">
        <v>40</v>
      </c>
      <c r="E7" s="26">
        <v>0</v>
      </c>
      <c r="F7" s="26">
        <v>0</v>
      </c>
      <c r="G7" s="27">
        <f t="shared" si="4"/>
        <v>0</v>
      </c>
      <c r="H7" s="26">
        <f t="shared" si="1"/>
        <v>0</v>
      </c>
      <c r="I7" s="27">
        <v>0</v>
      </c>
      <c r="J7" s="28">
        <f>I7/I17*100</f>
        <v>0</v>
      </c>
      <c r="K7" s="29">
        <f t="shared" si="2"/>
        <v>0</v>
      </c>
      <c r="L7" s="6">
        <v>88</v>
      </c>
      <c r="M7" s="36">
        <f>+P5+P8</f>
        <v>63.396222725250446</v>
      </c>
      <c r="N7" s="36">
        <v>67</v>
      </c>
      <c r="O7" s="36">
        <f>+N7-M7</f>
        <v>3.6037772747495538</v>
      </c>
      <c r="P7" s="36"/>
      <c r="Q7" s="6">
        <v>0</v>
      </c>
      <c r="R7" s="29">
        <f t="shared" si="3"/>
        <v>0</v>
      </c>
      <c r="S7" s="31">
        <v>2</v>
      </c>
      <c r="T7" s="32" t="s">
        <v>41</v>
      </c>
      <c r="U7" s="40">
        <v>455</v>
      </c>
      <c r="V7" s="38" t="s">
        <v>41</v>
      </c>
      <c r="W7" s="41">
        <v>465</v>
      </c>
      <c r="X7"/>
      <c r="Y7" s="41">
        <v>455</v>
      </c>
      <c r="Z7"/>
      <c r="AA7" s="41">
        <v>455</v>
      </c>
      <c r="AB7" s="18"/>
      <c r="AC7" s="18"/>
      <c r="AD7" s="42"/>
      <c r="AE7" s="18"/>
      <c r="AF7" s="18"/>
      <c r="AG7" s="18"/>
    </row>
    <row r="8" spans="1:33" ht="14.4" x14ac:dyDescent="0.3">
      <c r="A8" s="23">
        <f t="shared" si="0"/>
        <v>19.164999999999992</v>
      </c>
      <c r="B8" s="24">
        <v>127</v>
      </c>
      <c r="C8" s="25">
        <v>6</v>
      </c>
      <c r="D8" s="6" t="s">
        <v>42</v>
      </c>
      <c r="E8" s="26">
        <v>99.435000000000002</v>
      </c>
      <c r="F8" s="26">
        <v>8.4</v>
      </c>
      <c r="G8" s="27">
        <f t="shared" si="4"/>
        <v>107.83500000000001</v>
      </c>
      <c r="H8" s="26">
        <f t="shared" si="1"/>
        <v>107.83500000000001</v>
      </c>
      <c r="I8" s="27">
        <v>0</v>
      </c>
      <c r="J8" s="28">
        <f>I8/I17*100</f>
        <v>0</v>
      </c>
      <c r="K8" s="29">
        <f t="shared" si="2"/>
        <v>0</v>
      </c>
      <c r="L8" s="6">
        <v>90</v>
      </c>
      <c r="M8" s="30" t="s">
        <v>43</v>
      </c>
      <c r="N8" s="30" t="s">
        <v>44</v>
      </c>
      <c r="O8" s="6" t="s">
        <v>45</v>
      </c>
      <c r="P8" s="36">
        <f>+P6/O2</f>
        <v>6.1919731689311091</v>
      </c>
      <c r="Q8" s="6">
        <v>0</v>
      </c>
      <c r="R8" s="29">
        <f t="shared" si="3"/>
        <v>0</v>
      </c>
      <c r="S8" s="31"/>
      <c r="T8" s="32"/>
      <c r="U8" s="40"/>
      <c r="V8" s="38" t="s">
        <v>46</v>
      </c>
      <c r="W8" s="45">
        <f>((W7*(2-W4/100))/(W4/100))</f>
        <v>610.89079130032405</v>
      </c>
      <c r="X8"/>
      <c r="Y8" s="45">
        <f>((Y7*(2-Y4/100))/(Y4/100))</f>
        <v>606.09348339436485</v>
      </c>
      <c r="Z8"/>
      <c r="AA8" s="45">
        <f>((AA7*(2-AA4/100))/(AA4/100))</f>
        <v>624.73421926910294</v>
      </c>
      <c r="AB8" s="18"/>
      <c r="AC8" s="18"/>
      <c r="AD8" s="42"/>
      <c r="AE8" s="18"/>
      <c r="AF8" s="18"/>
      <c r="AG8" s="18"/>
    </row>
    <row r="9" spans="1:33" ht="14.4" x14ac:dyDescent="0.3">
      <c r="A9" s="23">
        <f t="shared" si="0"/>
        <v>0</v>
      </c>
      <c r="B9" s="24">
        <v>0</v>
      </c>
      <c r="C9" s="25">
        <v>7</v>
      </c>
      <c r="D9" s="6" t="s">
        <v>47</v>
      </c>
      <c r="E9" s="26">
        <v>0</v>
      </c>
      <c r="F9" s="26">
        <v>0</v>
      </c>
      <c r="G9" s="46">
        <f t="shared" si="4"/>
        <v>0</v>
      </c>
      <c r="H9" s="26">
        <f t="shared" si="1"/>
        <v>0</v>
      </c>
      <c r="I9" s="27">
        <v>0</v>
      </c>
      <c r="J9" s="28">
        <f>I9/I17*100</f>
        <v>0</v>
      </c>
      <c r="K9" s="29">
        <f t="shared" si="2"/>
        <v>0</v>
      </c>
      <c r="L9" s="6">
        <v>93</v>
      </c>
      <c r="M9" s="36">
        <f>+M5+M7</f>
        <v>709.01148436239555</v>
      </c>
      <c r="N9" s="36">
        <f>+N5+N7</f>
        <v>727.49180624551786</v>
      </c>
      <c r="O9" s="36">
        <f>+N9-M9</f>
        <v>18.480321883122315</v>
      </c>
      <c r="P9" s="36"/>
      <c r="Q9" s="6">
        <v>0</v>
      </c>
      <c r="R9" s="29">
        <f t="shared" si="3"/>
        <v>0</v>
      </c>
      <c r="S9" s="31" t="s">
        <v>48</v>
      </c>
      <c r="T9" s="32" t="s">
        <v>46</v>
      </c>
      <c r="U9" s="47">
        <f>((U7*(2-U4/100))/(U4/100))</f>
        <v>606.09348339436485</v>
      </c>
      <c r="V9" s="38" t="s">
        <v>49</v>
      </c>
      <c r="W9" s="45">
        <v>24</v>
      </c>
      <c r="X9"/>
      <c r="Y9" s="45">
        <v>24</v>
      </c>
      <c r="Z9"/>
      <c r="AA9" s="45">
        <v>24</v>
      </c>
      <c r="AB9" s="18"/>
      <c r="AC9" s="18"/>
      <c r="AD9" s="42"/>
      <c r="AE9" s="18"/>
      <c r="AF9" s="18"/>
      <c r="AG9" s="18"/>
    </row>
    <row r="10" spans="1:33" ht="14.4" x14ac:dyDescent="0.3">
      <c r="A10" s="23">
        <f t="shared" si="0"/>
        <v>0</v>
      </c>
      <c r="B10" s="24">
        <v>0</v>
      </c>
      <c r="C10" s="25">
        <v>8</v>
      </c>
      <c r="D10" s="6" t="s">
        <v>50</v>
      </c>
      <c r="E10" s="26">
        <v>0</v>
      </c>
      <c r="F10" s="26">
        <v>0</v>
      </c>
      <c r="G10" s="27">
        <f t="shared" si="4"/>
        <v>0</v>
      </c>
      <c r="H10" s="26">
        <f t="shared" si="1"/>
        <v>0</v>
      </c>
      <c r="I10" s="27">
        <v>0</v>
      </c>
      <c r="J10" s="28">
        <f>I10/I17*100</f>
        <v>0</v>
      </c>
      <c r="K10" s="29">
        <f t="shared" si="2"/>
        <v>0</v>
      </c>
      <c r="L10" s="6">
        <v>70</v>
      </c>
      <c r="M10" s="6"/>
      <c r="N10" s="6"/>
      <c r="O10" s="6"/>
      <c r="P10" s="6"/>
      <c r="Q10" s="6">
        <v>0</v>
      </c>
      <c r="R10" s="29">
        <f t="shared" si="3"/>
        <v>0</v>
      </c>
      <c r="S10" s="31" t="s">
        <v>51</v>
      </c>
      <c r="T10" s="32" t="s">
        <v>49</v>
      </c>
      <c r="U10" s="47">
        <v>24</v>
      </c>
      <c r="V10" s="38" t="s">
        <v>52</v>
      </c>
      <c r="W10" s="45">
        <v>20</v>
      </c>
      <c r="X10"/>
      <c r="Y10" s="45">
        <f>U11</f>
        <v>30.39832285115304</v>
      </c>
      <c r="Z10"/>
      <c r="AA10" s="45">
        <v>25</v>
      </c>
      <c r="AB10" s="18"/>
      <c r="AC10" s="18"/>
      <c r="AD10" s="42"/>
      <c r="AE10" s="18"/>
      <c r="AF10" s="18"/>
      <c r="AG10" s="18"/>
    </row>
    <row r="11" spans="1:33" ht="14.4" x14ac:dyDescent="0.3">
      <c r="A11" s="23">
        <f t="shared" si="0"/>
        <v>5</v>
      </c>
      <c r="B11" s="24">
        <v>5</v>
      </c>
      <c r="C11" s="25">
        <v>9</v>
      </c>
      <c r="D11" s="6" t="s">
        <v>53</v>
      </c>
      <c r="E11" s="26">
        <v>0</v>
      </c>
      <c r="F11" s="26">
        <v>0</v>
      </c>
      <c r="G11" s="27">
        <f>E11+F11</f>
        <v>0</v>
      </c>
      <c r="H11" s="26">
        <f t="shared" si="1"/>
        <v>0</v>
      </c>
      <c r="I11" s="27">
        <v>0</v>
      </c>
      <c r="J11" s="28">
        <f>I11/I17*100</f>
        <v>0</v>
      </c>
      <c r="K11" s="29">
        <f t="shared" si="2"/>
        <v>0</v>
      </c>
      <c r="L11" s="6">
        <v>98</v>
      </c>
      <c r="M11" s="6"/>
      <c r="N11" s="6"/>
      <c r="O11" s="6"/>
      <c r="P11" s="6"/>
      <c r="Q11" s="6">
        <v>0</v>
      </c>
      <c r="R11" s="29">
        <f t="shared" si="3"/>
        <v>0</v>
      </c>
      <c r="S11" s="31"/>
      <c r="T11" s="32" t="s">
        <v>54</v>
      </c>
      <c r="U11" s="47">
        <f>J5+J4</f>
        <v>30.39832285115304</v>
      </c>
      <c r="V11" s="38" t="s">
        <v>55</v>
      </c>
      <c r="W11" s="45">
        <f>SUM(W8:W10)</f>
        <v>654.89079130032405</v>
      </c>
      <c r="X11"/>
      <c r="Y11" s="45">
        <f>SUM(Y8:Y10)</f>
        <v>660.49180624551786</v>
      </c>
      <c r="Z11"/>
      <c r="AA11" s="45">
        <f>SUM(AA8:AA10)</f>
        <v>673.73421926910294</v>
      </c>
      <c r="AB11" s="18"/>
      <c r="AC11" s="18"/>
      <c r="AD11" s="42"/>
      <c r="AE11" s="18"/>
      <c r="AF11" s="18"/>
      <c r="AG11" s="18"/>
    </row>
    <row r="12" spans="1:33" ht="14.4" x14ac:dyDescent="0.3">
      <c r="A12" s="48">
        <f>+B12-H12</f>
        <v>76.411000000000058</v>
      </c>
      <c r="B12" s="24">
        <v>1318</v>
      </c>
      <c r="C12" s="25">
        <v>10</v>
      </c>
      <c r="D12" s="6" t="s">
        <v>56</v>
      </c>
      <c r="E12" s="49">
        <v>1154.819</v>
      </c>
      <c r="F12" s="26">
        <v>308.77</v>
      </c>
      <c r="G12" s="27">
        <f>E12+F12</f>
        <v>1463.5889999999999</v>
      </c>
      <c r="H12" s="49">
        <f>G12-I12</f>
        <v>1241.5889999999999</v>
      </c>
      <c r="I12" s="46">
        <v>222</v>
      </c>
      <c r="J12" s="28">
        <f>I12/I17*100</f>
        <v>46.540880503144656</v>
      </c>
      <c r="K12" s="29">
        <f t="shared" si="2"/>
        <v>43.283018867924532</v>
      </c>
      <c r="L12" s="6">
        <v>93</v>
      </c>
      <c r="M12" s="36"/>
      <c r="N12" s="6"/>
      <c r="O12" s="6"/>
      <c r="P12" s="6"/>
      <c r="Q12" s="6">
        <v>48</v>
      </c>
      <c r="R12" s="29">
        <f t="shared" si="3"/>
        <v>1.4591194968553438</v>
      </c>
      <c r="S12" s="31" t="s">
        <v>57</v>
      </c>
      <c r="T12" s="32" t="s">
        <v>55</v>
      </c>
      <c r="U12" s="47">
        <f>U9+U10+U11</f>
        <v>660.49180624551786</v>
      </c>
      <c r="V12" s="38" t="s">
        <v>58</v>
      </c>
      <c r="W12" s="50">
        <v>16</v>
      </c>
      <c r="X12"/>
      <c r="Y12" s="50">
        <v>16</v>
      </c>
      <c r="Z12"/>
      <c r="AA12" s="50">
        <v>16</v>
      </c>
      <c r="AB12" s="18"/>
      <c r="AC12" s="18"/>
      <c r="AD12" s="42"/>
      <c r="AE12" s="18"/>
      <c r="AF12" s="18"/>
      <c r="AG12" s="18"/>
    </row>
    <row r="13" spans="1:33" ht="14.4" x14ac:dyDescent="0.3">
      <c r="A13" s="23">
        <f t="shared" si="0"/>
        <v>-5.9799999999999969</v>
      </c>
      <c r="B13" s="24">
        <v>34</v>
      </c>
      <c r="C13" s="25">
        <v>11</v>
      </c>
      <c r="D13" s="6" t="s">
        <v>60</v>
      </c>
      <c r="E13" s="26">
        <v>44.98</v>
      </c>
      <c r="F13" s="26">
        <v>0</v>
      </c>
      <c r="G13" s="27">
        <f>E13+F13</f>
        <v>44.98</v>
      </c>
      <c r="H13" s="26">
        <f>G13-I13</f>
        <v>39.979999999999997</v>
      </c>
      <c r="I13" s="27">
        <v>5</v>
      </c>
      <c r="J13" s="28">
        <f>I13/I17*100</f>
        <v>1.0482180293501049</v>
      </c>
      <c r="K13" s="29">
        <f t="shared" si="2"/>
        <v>0.71949685534591201</v>
      </c>
      <c r="L13" s="6">
        <v>68.64</v>
      </c>
      <c r="M13" s="24" t="s">
        <v>61</v>
      </c>
      <c r="N13" s="6">
        <v>12</v>
      </c>
      <c r="O13" s="6" t="s">
        <v>62</v>
      </c>
      <c r="P13" s="53"/>
      <c r="Q13" s="6">
        <v>2</v>
      </c>
      <c r="R13" s="29">
        <f t="shared" si="3"/>
        <v>0.95178197064989511</v>
      </c>
      <c r="S13" s="31">
        <v>5</v>
      </c>
      <c r="T13" s="32" t="s">
        <v>58</v>
      </c>
      <c r="U13" s="24">
        <v>20</v>
      </c>
      <c r="V13" s="38" t="s">
        <v>63</v>
      </c>
      <c r="W13" s="34">
        <v>10060</v>
      </c>
      <c r="X13"/>
      <c r="Y13" s="34">
        <v>10670</v>
      </c>
      <c r="Z13"/>
      <c r="AA13" s="34">
        <v>12000</v>
      </c>
      <c r="AB13" s="18"/>
      <c r="AC13" s="18"/>
      <c r="AD13" s="42"/>
      <c r="AE13" s="18"/>
      <c r="AF13" s="18"/>
      <c r="AG13" s="18"/>
    </row>
    <row r="14" spans="1:33" ht="14.4" x14ac:dyDescent="0.3">
      <c r="A14" s="23">
        <f t="shared" si="0"/>
        <v>-13.689999999999998</v>
      </c>
      <c r="B14" s="24">
        <v>59</v>
      </c>
      <c r="C14" s="25">
        <v>12</v>
      </c>
      <c r="D14" s="6" t="s">
        <v>64</v>
      </c>
      <c r="E14" s="26">
        <v>77.37</v>
      </c>
      <c r="F14" s="26">
        <v>15.32</v>
      </c>
      <c r="G14" s="27">
        <f>E14+F14</f>
        <v>92.69</v>
      </c>
      <c r="H14" s="26">
        <f t="shared" si="1"/>
        <v>72.69</v>
      </c>
      <c r="I14" s="27">
        <v>20</v>
      </c>
      <c r="J14" s="28">
        <f>I14/I17*100</f>
        <v>4.1928721174004195</v>
      </c>
      <c r="K14" s="29">
        <f>+J14*L14%</f>
        <v>4.1090146750524115</v>
      </c>
      <c r="L14" s="6">
        <v>98</v>
      </c>
      <c r="M14" s="6"/>
      <c r="N14" s="6"/>
      <c r="O14" s="6"/>
      <c r="P14" s="30"/>
      <c r="Q14" s="6">
        <v>3</v>
      </c>
      <c r="R14" s="29">
        <f t="shared" si="3"/>
        <v>-1.1928721174004195</v>
      </c>
      <c r="S14" s="31">
        <v>6</v>
      </c>
      <c r="T14" s="32" t="s">
        <v>63</v>
      </c>
      <c r="U14" s="24">
        <v>12000</v>
      </c>
      <c r="V14" s="38" t="s">
        <v>65</v>
      </c>
      <c r="W14" s="54">
        <v>0.92</v>
      </c>
      <c r="X14"/>
      <c r="Y14" s="54">
        <v>0.92</v>
      </c>
      <c r="Z14"/>
      <c r="AA14" s="54">
        <v>0.92</v>
      </c>
      <c r="AB14" s="18"/>
      <c r="AC14" s="18"/>
      <c r="AD14" s="42"/>
      <c r="AE14" s="18"/>
      <c r="AF14" s="18"/>
      <c r="AG14" s="18"/>
    </row>
    <row r="15" spans="1:33" ht="14.4" x14ac:dyDescent="0.3">
      <c r="A15" s="23">
        <f t="shared" si="0"/>
        <v>0</v>
      </c>
      <c r="B15" s="24">
        <v>0</v>
      </c>
      <c r="C15" s="25">
        <v>13</v>
      </c>
      <c r="D15" s="6" t="s">
        <v>1</v>
      </c>
      <c r="E15" s="26">
        <v>0</v>
      </c>
      <c r="F15" s="26">
        <v>0</v>
      </c>
      <c r="G15" s="27">
        <f>E15+F15</f>
        <v>0</v>
      </c>
      <c r="H15" s="26">
        <f>G15-I15</f>
        <v>0</v>
      </c>
      <c r="I15" s="27">
        <v>0</v>
      </c>
      <c r="J15" s="28">
        <f>I15/I17*100</f>
        <v>0</v>
      </c>
      <c r="K15" s="29">
        <f>J15*L15</f>
        <v>0</v>
      </c>
      <c r="L15" s="55">
        <v>0.98</v>
      </c>
      <c r="M15" s="6"/>
      <c r="N15" s="6"/>
      <c r="O15" s="6"/>
      <c r="P15" s="30"/>
      <c r="Q15" s="6"/>
      <c r="R15" s="29"/>
      <c r="S15" s="31"/>
      <c r="T15" s="32"/>
      <c r="U15" s="24"/>
      <c r="V15" s="38"/>
      <c r="W15" s="54"/>
      <c r="X15"/>
      <c r="Y15" s="54"/>
      <c r="Z15"/>
      <c r="AA15" s="54"/>
      <c r="AB15" s="18"/>
      <c r="AC15" s="18"/>
      <c r="AD15" s="42"/>
      <c r="AE15" s="18"/>
      <c r="AF15" s="18"/>
      <c r="AG15" s="18"/>
    </row>
    <row r="16" spans="1:33" ht="14.4" x14ac:dyDescent="0.3">
      <c r="A16" s="23">
        <f>+B16-H16</f>
        <v>-6.6999999999999993</v>
      </c>
      <c r="B16" s="24">
        <v>1</v>
      </c>
      <c r="C16" s="25">
        <v>14</v>
      </c>
      <c r="D16" s="6" t="s">
        <v>66</v>
      </c>
      <c r="E16" s="26">
        <v>7.39</v>
      </c>
      <c r="F16" s="26">
        <v>0.31</v>
      </c>
      <c r="G16" s="27">
        <f t="shared" si="4"/>
        <v>7.6999999999999993</v>
      </c>
      <c r="H16" s="26">
        <f t="shared" si="1"/>
        <v>7.6999999999999993</v>
      </c>
      <c r="I16" s="27">
        <v>0</v>
      </c>
      <c r="J16" s="28">
        <f>I16/I17*100</f>
        <v>0</v>
      </c>
      <c r="K16" s="29">
        <f>+J16*L16%</f>
        <v>0</v>
      </c>
      <c r="L16" s="6">
        <v>94</v>
      </c>
      <c r="M16" s="8" t="s">
        <v>67</v>
      </c>
      <c r="N16" s="6" t="s">
        <v>68</v>
      </c>
      <c r="O16" s="36" t="s">
        <v>69</v>
      </c>
      <c r="P16" s="6"/>
      <c r="Q16" s="6"/>
      <c r="R16" s="29"/>
      <c r="S16" s="31">
        <v>7</v>
      </c>
      <c r="T16" s="32" t="s">
        <v>65</v>
      </c>
      <c r="U16" s="56">
        <v>0.9</v>
      </c>
      <c r="V16" s="57" t="s">
        <v>70</v>
      </c>
      <c r="W16" s="58">
        <f>(W13*W14)/(W11-W10)</f>
        <v>14.577625202350729</v>
      </c>
      <c r="X16"/>
      <c r="Y16" s="58">
        <f>(Y13*Y14)/(Y11-Y10)</f>
        <v>15.579275549904523</v>
      </c>
      <c r="Z16"/>
      <c r="AA16" s="58">
        <f>(AA13*AA14)/(AA11-AA10)</f>
        <v>17.017754994392352</v>
      </c>
      <c r="AB16" s="18"/>
      <c r="AC16" s="18"/>
      <c r="AD16" s="42"/>
      <c r="AE16" s="18"/>
      <c r="AF16" s="18"/>
      <c r="AG16" s="18"/>
    </row>
    <row r="17" spans="1:33" ht="14.4" x14ac:dyDescent="0.3">
      <c r="A17" s="59">
        <f>+B17-H17</f>
        <v>95.956000000000131</v>
      </c>
      <c r="B17" s="6">
        <f>SUM(B3:B14)+B16</f>
        <v>2694</v>
      </c>
      <c r="C17" s="8"/>
      <c r="D17" s="6" t="s">
        <v>10</v>
      </c>
      <c r="E17" s="26">
        <f>SUM(E3:E16)</f>
        <v>2631.5539999999996</v>
      </c>
      <c r="F17" s="27">
        <f>SUM(F3:F16)</f>
        <v>443.49</v>
      </c>
      <c r="G17" s="27">
        <f>E17+F17</f>
        <v>3075.0439999999999</v>
      </c>
      <c r="H17" s="26">
        <f>SUM(H3:H16)</f>
        <v>2598.0439999999999</v>
      </c>
      <c r="I17" s="27">
        <f>SUM(I3:I16)</f>
        <v>477</v>
      </c>
      <c r="J17" s="28">
        <f>SUM(J3:J16)</f>
        <v>100</v>
      </c>
      <c r="K17" s="29">
        <f>SUM(K3:K16)</f>
        <v>85.939098532494768</v>
      </c>
      <c r="L17" s="6"/>
      <c r="M17" s="30">
        <f>+O2/I17*100</f>
        <v>85.760587002096429</v>
      </c>
      <c r="N17" s="60">
        <f>+K17</f>
        <v>85.939098532494768</v>
      </c>
      <c r="O17" s="27">
        <f>+M17-N17</f>
        <v>-0.17851153039833889</v>
      </c>
      <c r="P17" s="36">
        <f>1036+27</f>
        <v>1063</v>
      </c>
      <c r="Q17" s="6">
        <f>SUM(Q3:Q16)</f>
        <v>100</v>
      </c>
      <c r="R17" s="29">
        <f t="shared" si="3"/>
        <v>0</v>
      </c>
      <c r="S17" s="31">
        <v>8</v>
      </c>
      <c r="T17" s="32" t="s">
        <v>70</v>
      </c>
      <c r="U17" s="61">
        <f>(U14*U16)/(U12-U11)</f>
        <v>17.140313754428185</v>
      </c>
      <c r="V17" s="38" t="s">
        <v>71</v>
      </c>
      <c r="W17" s="50">
        <v>34</v>
      </c>
      <c r="X17"/>
      <c r="Y17" s="50">
        <v>34</v>
      </c>
      <c r="Z17"/>
      <c r="AA17" s="50">
        <v>34</v>
      </c>
      <c r="AB17" s="18"/>
      <c r="AC17" s="18"/>
      <c r="AD17" s="18"/>
      <c r="AE17" s="18"/>
      <c r="AF17" s="18"/>
      <c r="AG17" s="18"/>
    </row>
    <row r="18" spans="1:33" ht="14.4" x14ac:dyDescent="0.3">
      <c r="A18" s="62"/>
      <c r="B18" s="63">
        <f>+H17-B17</f>
        <v>-95.956000000000131</v>
      </c>
      <c r="C18" s="8"/>
      <c r="D18" s="6"/>
      <c r="E18" s="26"/>
      <c r="F18" s="27"/>
      <c r="G18" s="27"/>
      <c r="H18" s="26"/>
      <c r="I18" s="27"/>
      <c r="J18" s="28" t="s">
        <v>72</v>
      </c>
      <c r="K18" s="64">
        <f>P2/M3</f>
        <v>1.4104889532069679E-2</v>
      </c>
      <c r="L18" s="6"/>
      <c r="M18" s="30"/>
      <c r="N18" s="60"/>
      <c r="O18" s="27"/>
      <c r="P18" s="36">
        <f>+P17-P19</f>
        <v>-258.97900000000004</v>
      </c>
      <c r="Q18" s="6"/>
      <c r="R18" s="29"/>
      <c r="S18" s="31"/>
      <c r="T18" s="32"/>
      <c r="U18" s="61"/>
      <c r="V18" s="38"/>
      <c r="W18" s="50"/>
      <c r="X18"/>
      <c r="Y18" s="50"/>
      <c r="Z18"/>
      <c r="AA18" s="50"/>
      <c r="AB18" s="18"/>
      <c r="AC18" s="18"/>
      <c r="AD18" s="18"/>
      <c r="AE18" s="18"/>
      <c r="AF18" s="18"/>
      <c r="AG18" s="18"/>
    </row>
    <row r="19" spans="1:33" ht="23.4" x14ac:dyDescent="0.45">
      <c r="A19" s="6">
        <f>B3+B4+B5+B13</f>
        <v>849</v>
      </c>
      <c r="B19" s="6">
        <f>B12+B14+B16</f>
        <v>1378</v>
      </c>
      <c r="C19" s="8"/>
      <c r="D19" s="6" t="s">
        <v>73</v>
      </c>
      <c r="E19" s="27">
        <v>0</v>
      </c>
      <c r="F19" s="27">
        <v>0</v>
      </c>
      <c r="G19" s="27">
        <f>+E19+F19</f>
        <v>0</v>
      </c>
      <c r="H19" s="27">
        <f>G19-I19</f>
        <v>0</v>
      </c>
      <c r="I19" s="27">
        <f>F19</f>
        <v>0</v>
      </c>
      <c r="J19" s="65"/>
      <c r="K19" s="29"/>
      <c r="L19" s="6" t="s">
        <v>74</v>
      </c>
      <c r="M19" s="25" t="s">
        <v>75</v>
      </c>
      <c r="N19" s="66">
        <f>H3+H4+H5+H13+H10</f>
        <v>863.77</v>
      </c>
      <c r="O19" s="65" t="s">
        <v>76</v>
      </c>
      <c r="P19" s="67">
        <f>H12+H14+H16</f>
        <v>1321.979</v>
      </c>
      <c r="Q19" s="27">
        <f>+P19+N19</f>
        <v>2185.7489999999998</v>
      </c>
      <c r="R19" s="68"/>
      <c r="S19" s="31">
        <v>9</v>
      </c>
      <c r="T19" s="32" t="s">
        <v>71</v>
      </c>
      <c r="U19" s="24">
        <v>34</v>
      </c>
      <c r="V19" s="38" t="s">
        <v>77</v>
      </c>
      <c r="W19" s="69">
        <f>W17*60/W16</f>
        <v>139.94048904968676</v>
      </c>
      <c r="X19"/>
      <c r="Y19" s="69">
        <f>Y17*60/Y16</f>
        <v>130.94318753560412</v>
      </c>
      <c r="Z19"/>
      <c r="AA19" s="69">
        <f>AA17*60/AA16</f>
        <v>119.87480138668207</v>
      </c>
      <c r="AB19" s="18"/>
      <c r="AC19" s="18"/>
      <c r="AD19" s="18"/>
      <c r="AE19" s="18"/>
      <c r="AF19" s="18"/>
      <c r="AG19" s="18"/>
    </row>
    <row r="20" spans="1:33" ht="14.4" x14ac:dyDescent="0.3">
      <c r="A20" s="63">
        <f>A19-N19</f>
        <v>-14.769999999999982</v>
      </c>
      <c r="B20" s="70">
        <f>B19-P19</f>
        <v>56.020999999999958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31">
        <v>10</v>
      </c>
      <c r="T20" s="32" t="s">
        <v>77</v>
      </c>
      <c r="U20" s="71">
        <f>U19*60/U17</f>
        <v>119.01765797449116</v>
      </c>
      <c r="V20" s="57" t="s">
        <v>78</v>
      </c>
      <c r="W20" s="72">
        <v>5</v>
      </c>
      <c r="X20"/>
      <c r="Y20" s="72">
        <v>12</v>
      </c>
      <c r="Z20"/>
      <c r="AA20" s="72">
        <v>15</v>
      </c>
      <c r="AB20" s="18"/>
      <c r="AC20" s="18"/>
      <c r="AD20" s="18"/>
      <c r="AE20" s="18"/>
      <c r="AF20" s="18"/>
      <c r="AG20" s="18"/>
    </row>
    <row r="21" spans="1:33" ht="42" x14ac:dyDescent="0.3">
      <c r="A21" s="73"/>
      <c r="B21" s="74"/>
      <c r="C21" s="74"/>
      <c r="H21" s="2"/>
      <c r="S21" s="8">
        <v>11</v>
      </c>
      <c r="T21" s="32" t="s">
        <v>78</v>
      </c>
      <c r="U21" s="75">
        <v>6</v>
      </c>
      <c r="V21" s="57" t="s">
        <v>79</v>
      </c>
      <c r="W21" s="72">
        <f>W20+W19</f>
        <v>144.94048904968676</v>
      </c>
      <c r="X21"/>
      <c r="Y21" s="72">
        <f>Y20+Y19</f>
        <v>142.94318753560412</v>
      </c>
      <c r="Z21"/>
      <c r="AA21" s="72">
        <f>AA20+AA19</f>
        <v>134.87480138668207</v>
      </c>
      <c r="AB21" s="18"/>
      <c r="AC21" s="18"/>
      <c r="AD21" s="18"/>
      <c r="AE21" s="18"/>
      <c r="AF21" s="18"/>
      <c r="AG21" s="18"/>
    </row>
    <row r="22" spans="1:33" s="82" customFormat="1" ht="14.4" x14ac:dyDescent="0.3">
      <c r="A22" s="76"/>
      <c r="B22" s="77">
        <f>A12+A16</f>
        <v>69.711000000000055</v>
      </c>
      <c r="C22" s="78"/>
      <c r="D22" s="2"/>
      <c r="E22" s="79">
        <f>H12+H14+H16</f>
        <v>1321.979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6">
        <v>12</v>
      </c>
      <c r="T22" s="32" t="s">
        <v>79</v>
      </c>
      <c r="U22" s="71">
        <f>U21+U20</f>
        <v>125.01765797449116</v>
      </c>
      <c r="V22" s="38" t="s">
        <v>80</v>
      </c>
      <c r="W22" s="80">
        <f>24*60/W21</f>
        <v>9.9351120548955549</v>
      </c>
      <c r="X22"/>
      <c r="Y22" s="80">
        <f>24*60/Y21</f>
        <v>10.073932342115475</v>
      </c>
      <c r="Z22"/>
      <c r="AA22" s="80">
        <f>24*60/AA21</f>
        <v>10.676568085327983</v>
      </c>
      <c r="AB22" s="81"/>
      <c r="AC22" s="81"/>
      <c r="AD22" s="81"/>
      <c r="AE22" s="81"/>
      <c r="AF22" s="81"/>
      <c r="AG22" s="81"/>
    </row>
    <row r="23" spans="1:33" ht="14.4" x14ac:dyDescent="0.3">
      <c r="A23" s="83"/>
      <c r="B23" s="84"/>
      <c r="C23" s="84"/>
      <c r="E23" s="2">
        <f>B12+B14+B16</f>
        <v>1378</v>
      </c>
      <c r="H23" s="2"/>
      <c r="S23" s="6">
        <v>13</v>
      </c>
      <c r="T23" s="32" t="s">
        <v>80</v>
      </c>
      <c r="U23" s="85">
        <f>24*60/U22</f>
        <v>11.518372870925324</v>
      </c>
      <c r="V23" s="57" t="s">
        <v>81</v>
      </c>
      <c r="W23" s="86">
        <f>W22*W17</f>
        <v>337.7938098664489</v>
      </c>
      <c r="X23"/>
      <c r="Y23" s="86">
        <f>Y22*Y17</f>
        <v>342.51369963192616</v>
      </c>
      <c r="Z23"/>
      <c r="AA23" s="86">
        <f>AA22*AA17</f>
        <v>363.00331490115138</v>
      </c>
      <c r="AB23" s="18"/>
      <c r="AC23" s="18"/>
      <c r="AD23" s="18"/>
      <c r="AE23" s="18"/>
      <c r="AF23" s="18"/>
      <c r="AG23" s="18"/>
    </row>
    <row r="24" spans="1:33" ht="15" thickBot="1" x14ac:dyDescent="0.35">
      <c r="A24" s="73"/>
      <c r="B24" s="74"/>
      <c r="C24" s="87"/>
      <c r="E24" s="79">
        <f>E23-E22</f>
        <v>56.020999999999958</v>
      </c>
      <c r="H24" s="2"/>
      <c r="S24" s="6">
        <v>14</v>
      </c>
      <c r="T24" s="88" t="s">
        <v>81</v>
      </c>
      <c r="U24" s="89">
        <f>U23*U19</f>
        <v>391.62467761146104</v>
      </c>
      <c r="V24" s="57" t="s">
        <v>82</v>
      </c>
      <c r="W24" s="3">
        <v>65</v>
      </c>
      <c r="X24"/>
      <c r="Y24" s="90">
        <f>+W23*W24/Y23</f>
        <v>64.104290324487138</v>
      </c>
      <c r="Z24" s="91"/>
      <c r="AA24" s="90">
        <f>+Y23*Y24/AA23</f>
        <v>60.485942524514222</v>
      </c>
      <c r="AB24" s="18"/>
      <c r="AC24" s="18"/>
      <c r="AD24" s="18"/>
      <c r="AE24" s="18"/>
      <c r="AF24" s="18"/>
      <c r="AG24" s="18"/>
    </row>
    <row r="25" spans="1:33" ht="13.8" x14ac:dyDescent="0.3">
      <c r="A25" s="83"/>
      <c r="B25" s="92"/>
      <c r="C25" s="87"/>
      <c r="H25" s="2"/>
      <c r="S25" s="18"/>
      <c r="T25" s="93"/>
      <c r="U25" s="94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1:33" ht="13.8" x14ac:dyDescent="0.3">
      <c r="A26" s="83"/>
      <c r="B26" s="95"/>
      <c r="C26" s="87"/>
      <c r="H26" s="2"/>
      <c r="S26" s="18"/>
      <c r="T26" s="81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 x14ac:dyDescent="0.2">
      <c r="C27" s="81"/>
      <c r="S27" s="18"/>
      <c r="T27" s="81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 x14ac:dyDescent="0.2">
      <c r="C28" s="81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</sheetData>
  <mergeCells count="3">
    <mergeCell ref="A1:N1"/>
    <mergeCell ref="T1:U1"/>
    <mergeCell ref="C20:R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01-10-2026</vt:lpstr>
      <vt:lpstr>02-10-2026</vt:lpstr>
      <vt:lpstr>03-12-2026</vt:lpstr>
      <vt:lpstr>04-10-2026</vt:lpstr>
      <vt:lpstr>05-10-2026</vt:lpstr>
      <vt:lpstr>06-10-2026</vt:lpstr>
      <vt:lpstr>07-10-2026</vt:lpstr>
      <vt:lpstr>08-10-2026</vt:lpstr>
      <vt:lpstr>09-10-2026</vt:lpstr>
      <vt:lpstr>10-10-2026</vt:lpstr>
      <vt:lpstr>11-10-2026</vt:lpstr>
      <vt:lpstr>12-10-2026</vt:lpstr>
      <vt:lpstr>13-10-2026</vt:lpstr>
      <vt:lpstr>14-10-2026</vt:lpstr>
      <vt:lpstr>15-10-2026</vt:lpstr>
      <vt:lpstr>16-10-2026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KOHROO SMS</dc:creator>
  <cp:lastModifiedBy>Santosh Kumar Kohroo</cp:lastModifiedBy>
  <dcterms:created xsi:type="dcterms:W3CDTF">2015-06-05T18:17:20Z</dcterms:created>
  <dcterms:modified xsi:type="dcterms:W3CDTF">2026-10-17T04:46:30Z</dcterms:modified>
</cp:coreProperties>
</file>