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mieplplant-my.sharepoint.com/personal/santoshkumar_kohroo_marutisteel_in/Documents/Desktop/"/>
    </mc:Choice>
  </mc:AlternateContent>
  <xr:revisionPtr revIDLastSave="3302" documentId="8_{9E90ED8F-1EFC-4F80-8CEC-A71F1D265B10}" xr6:coauthVersionLast="47" xr6:coauthVersionMax="47" xr10:uidLastSave="{C8E702FF-30DC-4CA3-8C14-83C20506D3D6}"/>
  <bookViews>
    <workbookView xWindow="-108" yWindow="-108" windowWidth="23256" windowHeight="12456" activeTab="1" xr2:uid="{877CA74D-AF8C-4E0E-8AA9-0ADE3B8ED374}"/>
  </bookViews>
  <sheets>
    <sheet name="Sheet2" sheetId="2" r:id="rId1"/>
    <sheet name="Stock Opening" sheetId="1" r:id="rId2"/>
    <sheet name="Sheet3" sheetId="3" r:id="rId3"/>
    <sheet name="Scrap Dust (Mix)" sheetId="4" r:id="rId4"/>
    <sheet name="Slag Cruhser Report 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6" i="4" l="1"/>
  <c r="D6" i="4"/>
  <c r="B6" i="4"/>
  <c r="F5" i="4"/>
  <c r="D5" i="4"/>
  <c r="B5" i="4"/>
  <c r="F4" i="4"/>
  <c r="D4" i="4"/>
  <c r="D17" i="1"/>
</calcChain>
</file>

<file path=xl/sharedStrings.xml><?xml version="1.0" encoding="utf-8"?>
<sst xmlns="http://schemas.openxmlformats.org/spreadsheetml/2006/main" count="101" uniqueCount="78">
  <si>
    <t>Item Name</t>
  </si>
  <si>
    <t>BAG FILTER DUST</t>
  </si>
  <si>
    <t>MILL SCALE-SMS</t>
  </si>
  <si>
    <t>OVER SIZE SPONGE</t>
  </si>
  <si>
    <t>RAW SLAG</t>
  </si>
  <si>
    <t>SLAG METAL FINES, SIZE : 1 MM  TO 3 MM</t>
  </si>
  <si>
    <t>Slag Waste</t>
  </si>
  <si>
    <t>RAW MATERIAL</t>
  </si>
  <si>
    <t>CI MIX SCRAP</t>
  </si>
  <si>
    <t>CI SKULL</t>
  </si>
  <si>
    <t>PIG IRON</t>
  </si>
  <si>
    <t>PIG IRON (GRANULATED)</t>
  </si>
  <si>
    <t>SCRAP (CY)</t>
  </si>
  <si>
    <t>SCRAP CRC (COATED)</t>
  </si>
  <si>
    <t>SCRAP CRC (MIX)</t>
  </si>
  <si>
    <t>STEEL MELTING SCRAP</t>
  </si>
  <si>
    <t>MS Scrap</t>
  </si>
  <si>
    <t>MS Scrap -Rolling Mill</t>
  </si>
  <si>
    <t>Mag Material Slag</t>
  </si>
  <si>
    <t>SPONGE IRON PELLETS</t>
  </si>
  <si>
    <t xml:space="preserve">BY PRODUCTS </t>
  </si>
  <si>
    <t>INTERNAL SCRAP</t>
  </si>
  <si>
    <t xml:space="preserve">SEMIFINSHED GOODS </t>
  </si>
  <si>
    <t>Date 02-01-2026</t>
  </si>
  <si>
    <t xml:space="preserve">Remarks </t>
  </si>
  <si>
    <t xml:space="preserve">SMS Stock Opening </t>
  </si>
  <si>
    <t xml:space="preserve"> 1)   1.865 Mt MS Scrap Rolling Mill  Entry pending in ERP </t>
  </si>
  <si>
    <t>SPONGE IRON  OUTER FINES.</t>
  </si>
  <si>
    <t>SPONGE IRON OUTER  LUMPS.</t>
  </si>
  <si>
    <t xml:space="preserve">OVER SIZE MAG </t>
  </si>
  <si>
    <t>Opening Qty. (MT)</t>
  </si>
  <si>
    <t>SPONGE IRON INTERNAL FINES</t>
  </si>
  <si>
    <t xml:space="preserve">CRUCIBLE </t>
  </si>
  <si>
    <t xml:space="preserve">PREHEATER REPORT </t>
  </si>
  <si>
    <t xml:space="preserve">ON TIME </t>
  </si>
  <si>
    <t xml:space="preserve">OFF TIME </t>
  </si>
  <si>
    <t>SET TEMP</t>
  </si>
  <si>
    <t xml:space="preserve">RUNNING HRS </t>
  </si>
  <si>
    <t>55 MIN</t>
  </si>
  <si>
    <t>1:25 HRS</t>
  </si>
  <si>
    <t>1 HRS</t>
  </si>
  <si>
    <t>2:30 HRS</t>
  </si>
  <si>
    <t>50 MIN</t>
  </si>
  <si>
    <t>UNIT 673.8</t>
  </si>
  <si>
    <t>7 :40 HRS</t>
  </si>
  <si>
    <t>DATE :14-01-2026</t>
  </si>
  <si>
    <t>(B)</t>
  </si>
  <si>
    <t>TOTAL RUNNING HRS</t>
  </si>
  <si>
    <t>Silico manganeese</t>
  </si>
  <si>
    <t xml:space="preserve">MS Scrap </t>
  </si>
  <si>
    <t>SCRAP DUST (MIX)</t>
  </si>
  <si>
    <t>Scrap Dust (Mix)</t>
  </si>
  <si>
    <t>Date</t>
  </si>
  <si>
    <t>Opening</t>
  </si>
  <si>
    <t>Receiving</t>
  </si>
  <si>
    <t>Total</t>
  </si>
  <si>
    <t>Closing</t>
  </si>
  <si>
    <t>Issue</t>
  </si>
  <si>
    <t xml:space="preserve">Total Running Hrs . </t>
  </si>
  <si>
    <t xml:space="preserve">Approx Production </t>
  </si>
  <si>
    <t xml:space="preserve">Raw Slag Feeding  Approx </t>
  </si>
  <si>
    <t xml:space="preserve"> Pc -71 Operator Name / Sign </t>
  </si>
  <si>
    <t xml:space="preserve">Remarks :  if any Breakdown </t>
  </si>
  <si>
    <t xml:space="preserve">Slag Crusher Supervisor  Name / Sign </t>
  </si>
  <si>
    <t>Date  :</t>
  </si>
  <si>
    <t xml:space="preserve">Shift  : </t>
  </si>
  <si>
    <t xml:space="preserve">Engineer Sign </t>
  </si>
  <si>
    <t xml:space="preserve">Manager Sign </t>
  </si>
  <si>
    <t xml:space="preserve"> Slag Crusher On Time </t>
  </si>
  <si>
    <t xml:space="preserve"> Slag Crusher Off time </t>
  </si>
  <si>
    <t xml:space="preserve">Slag Crusher daily Operation  Report </t>
  </si>
  <si>
    <t>Raw Slag Opening Qty.</t>
  </si>
  <si>
    <t>Raw Slag Recivieng Qty.</t>
  </si>
  <si>
    <t xml:space="preserve">Raw Slag Closing Qty. </t>
  </si>
  <si>
    <t xml:space="preserve">Over Size Sponge </t>
  </si>
  <si>
    <t xml:space="preserve"> </t>
  </si>
  <si>
    <t>Date 16-10-2026</t>
  </si>
  <si>
    <t xml:space="preserve">1)2.270 MT MS Scrap-Rolling Mill Pending in ERP.                         2) 7.390 Mt Ms Scrap Pending in ERP.                                                  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</si>
</sst>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#,###,###,###.000"/>
    <numFmt numFmtId="165" formatCode="0.000"/>
    <numFmt numFmtId="166" formatCode="#,##0.000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</fills>
  <borders count="2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1">
    <xf numFmtId="0" fontId="0" fillId="0" borderId="0" xfId="0"/>
    <xf numFmtId="0" fontId="0" fillId="0" borderId="1" xfId="0" quotePrefix="1" applyBorder="1" applyAlignment="1">
      <alignment horizontal="center"/>
    </xf>
    <xf numFmtId="0" fontId="2" fillId="2" borderId="4" xfId="0" applyFont="1" applyFill="1" applyBorder="1" applyAlignment="1">
      <alignment horizontal="center" vertical="center"/>
    </xf>
    <xf numFmtId="0" fontId="0" fillId="0" borderId="2" xfId="0" quotePrefix="1" applyBorder="1" applyAlignment="1">
      <alignment horizontal="center"/>
    </xf>
    <xf numFmtId="0" fontId="2" fillId="2" borderId="3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/>
    </xf>
    <xf numFmtId="0" fontId="2" fillId="3" borderId="7" xfId="0" applyFont="1" applyFill="1" applyBorder="1"/>
    <xf numFmtId="0" fontId="0" fillId="0" borderId="1" xfId="0" quotePrefix="1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0" fillId="0" borderId="5" xfId="0" applyBorder="1" applyAlignment="1">
      <alignment horizontal="center" vertical="center"/>
    </xf>
    <xf numFmtId="0" fontId="0" fillId="0" borderId="13" xfId="0" applyBorder="1" applyAlignment="1">
      <alignment horizontal="center"/>
    </xf>
    <xf numFmtId="0" fontId="3" fillId="0" borderId="14" xfId="0" applyFont="1" applyBorder="1" applyAlignment="1">
      <alignment horizontal="center"/>
    </xf>
    <xf numFmtId="18" fontId="3" fillId="0" borderId="14" xfId="0" applyNumberFormat="1" applyFont="1" applyBorder="1" applyAlignment="1">
      <alignment horizontal="center" wrapText="1"/>
    </xf>
    <xf numFmtId="0" fontId="5" fillId="0" borderId="16" xfId="0" applyFont="1" applyBorder="1"/>
    <xf numFmtId="0" fontId="0" fillId="0" borderId="17" xfId="0" applyBorder="1"/>
    <xf numFmtId="0" fontId="2" fillId="0" borderId="17" xfId="0" applyFont="1" applyBorder="1"/>
    <xf numFmtId="0" fontId="5" fillId="0" borderId="17" xfId="0" applyFont="1" applyBorder="1"/>
    <xf numFmtId="0" fontId="0" fillId="0" borderId="18" xfId="0" applyBorder="1"/>
    <xf numFmtId="0" fontId="3" fillId="0" borderId="22" xfId="0" applyFont="1" applyBorder="1" applyAlignment="1">
      <alignment horizontal="center"/>
    </xf>
    <xf numFmtId="20" fontId="3" fillId="0" borderId="22" xfId="0" applyNumberFormat="1" applyFont="1" applyBorder="1" applyAlignment="1">
      <alignment horizontal="center"/>
    </xf>
    <xf numFmtId="18" fontId="4" fillId="0" borderId="15" xfId="0" applyNumberFormat="1" applyFont="1" applyBorder="1" applyAlignment="1">
      <alignment horizontal="center" wrapText="1"/>
    </xf>
    <xf numFmtId="0" fontId="3" fillId="0" borderId="15" xfId="0" applyFont="1" applyBorder="1" applyAlignment="1">
      <alignment horizontal="center"/>
    </xf>
    <xf numFmtId="0" fontId="3" fillId="0" borderId="23" xfId="0" applyFont="1" applyBorder="1" applyAlignment="1">
      <alignment horizontal="center"/>
    </xf>
    <xf numFmtId="0" fontId="4" fillId="0" borderId="14" xfId="0" applyFont="1" applyBorder="1"/>
    <xf numFmtId="0" fontId="4" fillId="0" borderId="14" xfId="0" applyFont="1" applyBorder="1" applyAlignment="1">
      <alignment horizontal="center"/>
    </xf>
    <xf numFmtId="0" fontId="4" fillId="0" borderId="22" xfId="0" applyFont="1" applyBorder="1"/>
    <xf numFmtId="0" fontId="0" fillId="0" borderId="1" xfId="0" quotePrefix="1" applyBorder="1" applyAlignment="1">
      <alignment horizontal="left"/>
    </xf>
    <xf numFmtId="0" fontId="0" fillId="0" borderId="1" xfId="0" quotePrefix="1" applyBorder="1" applyAlignment="1">
      <alignment horizontal="left" vertical="center"/>
    </xf>
    <xf numFmtId="0" fontId="0" fillId="0" borderId="2" xfId="0" quotePrefix="1" applyBorder="1" applyAlignment="1">
      <alignment horizontal="left"/>
    </xf>
    <xf numFmtId="166" fontId="0" fillId="0" borderId="0" xfId="0" applyNumberFormat="1"/>
    <xf numFmtId="165" fontId="0" fillId="0" borderId="0" xfId="0" applyNumberFormat="1"/>
    <xf numFmtId="0" fontId="1" fillId="5" borderId="1" xfId="0" quotePrefix="1" applyFont="1" applyFill="1" applyBorder="1" applyAlignment="1">
      <alignment horizontal="left"/>
    </xf>
    <xf numFmtId="0" fontId="2" fillId="2" borderId="14" xfId="0" applyFont="1" applyFill="1" applyBorder="1" applyAlignment="1">
      <alignment horizontal="center" vertical="center"/>
    </xf>
    <xf numFmtId="0" fontId="0" fillId="0" borderId="14" xfId="0" applyBorder="1" applyAlignment="1">
      <alignment horizontal="center"/>
    </xf>
    <xf numFmtId="165" fontId="0" fillId="0" borderId="14" xfId="0" applyNumberFormat="1" applyBorder="1" applyAlignment="1">
      <alignment horizontal="center"/>
    </xf>
    <xf numFmtId="165" fontId="0" fillId="4" borderId="14" xfId="0" applyNumberFormat="1" applyFill="1" applyBorder="1" applyAlignment="1">
      <alignment horizontal="center"/>
    </xf>
    <xf numFmtId="165" fontId="1" fillId="5" borderId="14" xfId="0" applyNumberFormat="1" applyFont="1" applyFill="1" applyBorder="1" applyAlignment="1">
      <alignment horizontal="center"/>
    </xf>
    <xf numFmtId="164" fontId="0" fillId="4" borderId="14" xfId="0" applyNumberFormat="1" applyFill="1" applyBorder="1" applyAlignment="1">
      <alignment horizontal="center"/>
    </xf>
    <xf numFmtId="0" fontId="2" fillId="3" borderId="19" xfId="0" applyFont="1" applyFill="1" applyBorder="1" applyAlignment="1">
      <alignment horizontal="center"/>
    </xf>
    <xf numFmtId="0" fontId="2" fillId="3" borderId="20" xfId="0" applyFont="1" applyFill="1" applyBorder="1"/>
    <xf numFmtId="0" fontId="2" fillId="2" borderId="1" xfId="0" applyFont="1" applyFill="1" applyBorder="1" applyAlignment="1">
      <alignment horizontal="center" vertical="center"/>
    </xf>
    <xf numFmtId="164" fontId="0" fillId="4" borderId="15" xfId="0" applyNumberFormat="1" applyFill="1" applyBorder="1" applyAlignment="1">
      <alignment horizontal="center"/>
    </xf>
    <xf numFmtId="0" fontId="0" fillId="0" borderId="24" xfId="0" quotePrefix="1" applyBorder="1" applyAlignment="1">
      <alignment horizontal="left" vertical="center"/>
    </xf>
    <xf numFmtId="165" fontId="0" fillId="4" borderId="25" xfId="0" applyNumberFormat="1" applyFill="1" applyBorder="1" applyAlignment="1">
      <alignment horizontal="center"/>
    </xf>
    <xf numFmtId="0" fontId="0" fillId="0" borderId="14" xfId="0" applyBorder="1"/>
    <xf numFmtId="14" fontId="0" fillId="0" borderId="14" xfId="0" applyNumberFormat="1" applyBorder="1"/>
    <xf numFmtId="0" fontId="1" fillId="6" borderId="14" xfId="0" applyFont="1" applyFill="1" applyBorder="1"/>
    <xf numFmtId="165" fontId="0" fillId="0" borderId="14" xfId="0" applyNumberFormat="1" applyBorder="1"/>
    <xf numFmtId="0" fontId="6" fillId="0" borderId="1" xfId="0" applyFont="1" applyBorder="1"/>
    <xf numFmtId="0" fontId="6" fillId="0" borderId="22" xfId="0" applyFont="1" applyBorder="1"/>
    <xf numFmtId="0" fontId="6" fillId="0" borderId="22" xfId="0" applyFont="1" applyBorder="1" applyAlignment="1">
      <alignment horizontal="center"/>
    </xf>
    <xf numFmtId="0" fontId="0" fillId="0" borderId="2" xfId="0" applyBorder="1"/>
    <xf numFmtId="0" fontId="0" fillId="0" borderId="15" xfId="0" applyBorder="1"/>
    <xf numFmtId="0" fontId="0" fillId="0" borderId="23" xfId="0" applyBorder="1"/>
    <xf numFmtId="0" fontId="2" fillId="0" borderId="1" xfId="0" applyFont="1" applyBorder="1" applyAlignment="1">
      <alignment wrapText="1"/>
    </xf>
    <xf numFmtId="0" fontId="2" fillId="0" borderId="14" xfId="0" applyFont="1" applyBorder="1" applyAlignment="1">
      <alignment wrapText="1"/>
    </xf>
    <xf numFmtId="0" fontId="2" fillId="0" borderId="22" xfId="0" applyFont="1" applyBorder="1" applyAlignment="1">
      <alignment vertical="center" wrapText="1"/>
    </xf>
    <xf numFmtId="0" fontId="2" fillId="0" borderId="5" xfId="0" applyFont="1" applyBorder="1" applyAlignment="1">
      <alignment wrapText="1"/>
    </xf>
    <xf numFmtId="0" fontId="0" fillId="0" borderId="13" xfId="0" applyBorder="1"/>
    <xf numFmtId="0" fontId="6" fillId="0" borderId="14" xfId="0" applyFont="1" applyBorder="1"/>
    <xf numFmtId="0" fontId="6" fillId="0" borderId="28" xfId="0" applyFont="1" applyBorder="1"/>
    <xf numFmtId="0" fontId="2" fillId="3" borderId="21" xfId="0" applyFont="1" applyFill="1" applyBorder="1" applyAlignment="1">
      <alignment horizontal="center" vertical="center"/>
    </xf>
    <xf numFmtId="0" fontId="2" fillId="3" borderId="22" xfId="0" applyFont="1" applyFill="1" applyBorder="1" applyAlignment="1">
      <alignment horizontal="center" vertical="center"/>
    </xf>
    <xf numFmtId="0" fontId="1" fillId="3" borderId="1" xfId="0" quotePrefix="1" applyFont="1" applyFill="1" applyBorder="1" applyAlignment="1">
      <alignment horizontal="center" vertical="center"/>
    </xf>
    <xf numFmtId="0" fontId="1" fillId="3" borderId="14" xfId="0" quotePrefix="1" applyFont="1" applyFill="1" applyBorder="1" applyAlignment="1">
      <alignment horizontal="center" vertical="center"/>
    </xf>
    <xf numFmtId="0" fontId="1" fillId="3" borderId="1" xfId="0" quotePrefix="1" applyFont="1" applyFill="1" applyBorder="1" applyAlignment="1">
      <alignment horizontal="center"/>
    </xf>
    <xf numFmtId="0" fontId="1" fillId="3" borderId="14" xfId="0" quotePrefix="1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 vertical="center"/>
    </xf>
    <xf numFmtId="0" fontId="1" fillId="3" borderId="14" xfId="0" applyFont="1" applyFill="1" applyBorder="1" applyAlignment="1">
      <alignment horizontal="center" vertical="center"/>
    </xf>
    <xf numFmtId="0" fontId="1" fillId="0" borderId="22" xfId="0" applyFont="1" applyBorder="1" applyAlignment="1">
      <alignment horizontal="left" vertical="top" wrapText="1"/>
    </xf>
    <xf numFmtId="0" fontId="1" fillId="0" borderId="26" xfId="0" applyFont="1" applyBorder="1" applyAlignment="1">
      <alignment horizontal="left" vertical="top" wrapText="1"/>
    </xf>
    <xf numFmtId="0" fontId="1" fillId="0" borderId="23" xfId="0" applyFont="1" applyBorder="1" applyAlignment="1">
      <alignment horizontal="left" vertical="top" wrapText="1"/>
    </xf>
    <xf numFmtId="0" fontId="1" fillId="3" borderId="5" xfId="0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/>
    </xf>
    <xf numFmtId="0" fontId="2" fillId="3" borderId="8" xfId="0" applyFont="1" applyFill="1" applyBorder="1" applyAlignment="1">
      <alignment horizontal="center" vertical="center"/>
    </xf>
    <xf numFmtId="0" fontId="1" fillId="3" borderId="5" xfId="0" quotePrefix="1" applyFont="1" applyFill="1" applyBorder="1" applyAlignment="1">
      <alignment horizontal="center" vertical="center"/>
    </xf>
    <xf numFmtId="0" fontId="1" fillId="0" borderId="10" xfId="0" applyFont="1" applyBorder="1" applyAlignment="1">
      <alignment horizontal="left" vertical="top" wrapText="1"/>
    </xf>
    <xf numFmtId="0" fontId="1" fillId="0" borderId="11" xfId="0" applyFont="1" applyBorder="1" applyAlignment="1">
      <alignment horizontal="left" vertical="top" wrapText="1"/>
    </xf>
    <xf numFmtId="0" fontId="1" fillId="0" borderId="12" xfId="0" applyFont="1" applyBorder="1" applyAlignment="1">
      <alignment horizontal="left" vertical="top" wrapText="1"/>
    </xf>
    <xf numFmtId="0" fontId="1" fillId="3" borderId="5" xfId="0" quotePrefix="1" applyFont="1" applyFill="1" applyBorder="1" applyAlignment="1">
      <alignment horizontal="center"/>
    </xf>
    <xf numFmtId="18" fontId="3" fillId="0" borderId="1" xfId="0" applyNumberFormat="1" applyFont="1" applyBorder="1" applyAlignment="1">
      <alignment horizontal="center"/>
    </xf>
    <xf numFmtId="18" fontId="3" fillId="0" borderId="14" xfId="0" applyNumberFormat="1" applyFont="1" applyBorder="1" applyAlignment="1">
      <alignment horizontal="center"/>
    </xf>
    <xf numFmtId="18" fontId="3" fillId="0" borderId="2" xfId="0" applyNumberFormat="1" applyFont="1" applyBorder="1" applyAlignment="1">
      <alignment horizontal="center"/>
    </xf>
    <xf numFmtId="18" fontId="3" fillId="0" borderId="15" xfId="0" applyNumberFormat="1" applyFont="1" applyBorder="1" applyAlignment="1">
      <alignment horizontal="center"/>
    </xf>
    <xf numFmtId="0" fontId="4" fillId="0" borderId="1" xfId="0" applyFont="1" applyBorder="1" applyAlignment="1">
      <alignment horizontal="left"/>
    </xf>
    <xf numFmtId="0" fontId="4" fillId="0" borderId="14" xfId="0" applyFont="1" applyBorder="1" applyAlignment="1">
      <alignment horizontal="left"/>
    </xf>
    <xf numFmtId="0" fontId="4" fillId="0" borderId="1" xfId="0" applyFont="1" applyBorder="1" applyAlignment="1">
      <alignment horizontal="center"/>
    </xf>
    <xf numFmtId="0" fontId="4" fillId="0" borderId="14" xfId="0" applyFont="1" applyBorder="1" applyAlignment="1">
      <alignment horizontal="center"/>
    </xf>
    <xf numFmtId="0" fontId="4" fillId="5" borderId="19" xfId="0" applyFont="1" applyFill="1" applyBorder="1" applyAlignment="1">
      <alignment horizontal="center"/>
    </xf>
    <xf numFmtId="0" fontId="4" fillId="5" borderId="20" xfId="0" applyFont="1" applyFill="1" applyBorder="1" applyAlignment="1">
      <alignment horizontal="center"/>
    </xf>
    <xf numFmtId="0" fontId="4" fillId="5" borderId="21" xfId="0" applyFont="1" applyFill="1" applyBorder="1" applyAlignment="1">
      <alignment horizontal="center"/>
    </xf>
    <xf numFmtId="18" fontId="4" fillId="0" borderId="1" xfId="0" applyNumberFormat="1" applyFont="1" applyBorder="1" applyAlignment="1">
      <alignment horizontal="center"/>
    </xf>
    <xf numFmtId="18" fontId="4" fillId="0" borderId="14" xfId="0" applyNumberFormat="1" applyFont="1" applyBorder="1" applyAlignment="1">
      <alignment horizontal="center"/>
    </xf>
    <xf numFmtId="0" fontId="1" fillId="3" borderId="14" xfId="0" applyFont="1" applyFill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6" fillId="0" borderId="28" xfId="0" applyFont="1" applyBorder="1" applyAlignment="1">
      <alignment horizontal="center"/>
    </xf>
    <xf numFmtId="0" fontId="6" fillId="0" borderId="19" xfId="0" applyFont="1" applyBorder="1" applyAlignment="1">
      <alignment horizontal="center"/>
    </xf>
    <xf numFmtId="0" fontId="6" fillId="0" borderId="20" xfId="0" applyFont="1" applyBorder="1" applyAlignment="1">
      <alignment horizontal="center"/>
    </xf>
    <xf numFmtId="0" fontId="6" fillId="0" borderId="27" xfId="0" applyFont="1" applyBorder="1" applyAlignment="1">
      <alignment horizontal="center"/>
    </xf>
    <xf numFmtId="0" fontId="6" fillId="0" borderId="21" xfId="0" applyFont="1" applyBorder="1" applyAlignment="1">
      <alignment horizontal="center"/>
    </xf>
    <xf numFmtId="0" fontId="6" fillId="0" borderId="2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81AAC8-41DD-4080-B1C7-64C2BED007B6}">
  <sheetPr>
    <pageSetUpPr fitToPage="1"/>
  </sheetPr>
  <dimension ref="A1:C27"/>
  <sheetViews>
    <sheetView topLeftCell="A13" workbookViewId="0">
      <selection activeCell="B22" sqref="B22"/>
    </sheetView>
  </sheetViews>
  <sheetFormatPr defaultRowHeight="14.4" x14ac:dyDescent="0.3"/>
  <cols>
    <col min="1" max="1" width="37.44140625" bestFit="1" customWidth="1"/>
    <col min="2" max="2" width="19.44140625" bestFit="1" customWidth="1"/>
    <col min="3" max="3" width="32.6640625" customWidth="1"/>
  </cols>
  <sheetData>
    <row r="1" spans="1:3" ht="16.2" thickBot="1" x14ac:dyDescent="0.35">
      <c r="A1" s="5" t="s">
        <v>25</v>
      </c>
      <c r="B1" s="6" t="s">
        <v>23</v>
      </c>
      <c r="C1" s="73" t="s">
        <v>24</v>
      </c>
    </row>
    <row r="2" spans="1:3" ht="21.75" customHeight="1" thickBot="1" x14ac:dyDescent="0.35">
      <c r="A2" s="4" t="s">
        <v>0</v>
      </c>
      <c r="B2" s="2" t="s">
        <v>30</v>
      </c>
      <c r="C2" s="74"/>
    </row>
    <row r="3" spans="1:3" ht="23.25" customHeight="1" x14ac:dyDescent="0.3">
      <c r="A3" s="63" t="s">
        <v>7</v>
      </c>
      <c r="B3" s="75"/>
      <c r="C3" s="76" t="s">
        <v>26</v>
      </c>
    </row>
    <row r="4" spans="1:3" x14ac:dyDescent="0.3">
      <c r="A4" s="1" t="s">
        <v>15</v>
      </c>
      <c r="B4" s="8">
        <v>715.54899999999998</v>
      </c>
      <c r="C4" s="77"/>
    </row>
    <row r="5" spans="1:3" x14ac:dyDescent="0.3">
      <c r="A5" s="1" t="s">
        <v>28</v>
      </c>
      <c r="B5" s="8">
        <v>561.30999999999995</v>
      </c>
      <c r="C5" s="77"/>
    </row>
    <row r="6" spans="1:3" x14ac:dyDescent="0.3">
      <c r="A6" s="1" t="s">
        <v>27</v>
      </c>
      <c r="B6" s="8">
        <v>200.96</v>
      </c>
      <c r="C6" s="77"/>
    </row>
    <row r="7" spans="1:3" x14ac:dyDescent="0.3">
      <c r="A7" s="1" t="s">
        <v>19</v>
      </c>
      <c r="B7" s="8">
        <v>84.96</v>
      </c>
      <c r="C7" s="77"/>
    </row>
    <row r="8" spans="1:3" x14ac:dyDescent="0.3">
      <c r="A8" s="1" t="s">
        <v>8</v>
      </c>
      <c r="B8" s="8">
        <v>191.405</v>
      </c>
      <c r="C8" s="77"/>
    </row>
    <row r="9" spans="1:3" x14ac:dyDescent="0.3">
      <c r="A9" s="1" t="s">
        <v>9</v>
      </c>
      <c r="B9" s="8">
        <v>33.78</v>
      </c>
      <c r="C9" s="77"/>
    </row>
    <row r="10" spans="1:3" x14ac:dyDescent="0.3">
      <c r="A10" s="1" t="s">
        <v>10</v>
      </c>
      <c r="B10" s="8">
        <v>37.479999999999997</v>
      </c>
      <c r="C10" s="77"/>
    </row>
    <row r="11" spans="1:3" x14ac:dyDescent="0.3">
      <c r="A11" s="1" t="s">
        <v>11</v>
      </c>
      <c r="B11" s="8">
        <v>155.80000000000001</v>
      </c>
      <c r="C11" s="77"/>
    </row>
    <row r="12" spans="1:3" x14ac:dyDescent="0.3">
      <c r="A12" s="1" t="s">
        <v>12</v>
      </c>
      <c r="B12" s="8">
        <v>40.340000000000003</v>
      </c>
      <c r="C12" s="77"/>
    </row>
    <row r="13" spans="1:3" x14ac:dyDescent="0.3">
      <c r="A13" s="1" t="s">
        <v>13</v>
      </c>
      <c r="B13" s="8">
        <v>58.41</v>
      </c>
      <c r="C13" s="77"/>
    </row>
    <row r="14" spans="1:3" x14ac:dyDescent="0.3">
      <c r="A14" s="1" t="s">
        <v>14</v>
      </c>
      <c r="B14" s="8">
        <v>41.43</v>
      </c>
      <c r="C14" s="77"/>
    </row>
    <row r="15" spans="1:3" x14ac:dyDescent="0.3">
      <c r="A15" s="1" t="s">
        <v>3</v>
      </c>
      <c r="B15" s="8">
        <v>46.08</v>
      </c>
      <c r="C15" s="77"/>
    </row>
    <row r="16" spans="1:3" x14ac:dyDescent="0.3">
      <c r="A16" s="65" t="s">
        <v>21</v>
      </c>
      <c r="B16" s="79"/>
      <c r="C16" s="77"/>
    </row>
    <row r="17" spans="1:3" x14ac:dyDescent="0.3">
      <c r="A17" s="1" t="s">
        <v>16</v>
      </c>
      <c r="B17" s="8">
        <v>12.94</v>
      </c>
      <c r="C17" s="77"/>
    </row>
    <row r="18" spans="1:3" x14ac:dyDescent="0.3">
      <c r="A18" s="7" t="s">
        <v>17</v>
      </c>
      <c r="B18" s="9">
        <v>138.22499999999999</v>
      </c>
      <c r="C18" s="77"/>
    </row>
    <row r="19" spans="1:3" x14ac:dyDescent="0.3">
      <c r="A19" s="65" t="s">
        <v>22</v>
      </c>
      <c r="B19" s="79"/>
      <c r="C19" s="77"/>
    </row>
    <row r="20" spans="1:3" ht="15" thickBot="1" x14ac:dyDescent="0.35">
      <c r="A20" s="3" t="s">
        <v>18</v>
      </c>
      <c r="B20" s="10">
        <v>28.31</v>
      </c>
      <c r="C20" s="77"/>
    </row>
    <row r="21" spans="1:3" x14ac:dyDescent="0.3">
      <c r="A21" s="67" t="s">
        <v>20</v>
      </c>
      <c r="B21" s="72"/>
      <c r="C21" s="77"/>
    </row>
    <row r="22" spans="1:3" x14ac:dyDescent="0.3">
      <c r="A22" s="1" t="s">
        <v>1</v>
      </c>
      <c r="B22" s="8">
        <v>5.27</v>
      </c>
      <c r="C22" s="77"/>
    </row>
    <row r="23" spans="1:3" x14ac:dyDescent="0.3">
      <c r="A23" s="1" t="s">
        <v>2</v>
      </c>
      <c r="B23" s="8">
        <v>42.89</v>
      </c>
      <c r="C23" s="77"/>
    </row>
    <row r="24" spans="1:3" x14ac:dyDescent="0.3">
      <c r="A24" s="1" t="s">
        <v>4</v>
      </c>
      <c r="B24" s="8">
        <v>194.988</v>
      </c>
      <c r="C24" s="77"/>
    </row>
    <row r="25" spans="1:3" ht="30" customHeight="1" x14ac:dyDescent="0.3">
      <c r="A25" s="7" t="s">
        <v>5</v>
      </c>
      <c r="B25" s="9">
        <v>42.51</v>
      </c>
      <c r="C25" s="77"/>
    </row>
    <row r="26" spans="1:3" x14ac:dyDescent="0.3">
      <c r="A26" s="1" t="s">
        <v>6</v>
      </c>
      <c r="B26" s="8">
        <v>3598.7220000000002</v>
      </c>
      <c r="C26" s="77"/>
    </row>
    <row r="27" spans="1:3" ht="15" thickBot="1" x14ac:dyDescent="0.35">
      <c r="A27" s="3" t="s">
        <v>29</v>
      </c>
      <c r="B27" s="10">
        <v>0</v>
      </c>
      <c r="C27" s="78"/>
    </row>
  </sheetData>
  <mergeCells count="6">
    <mergeCell ref="A21:B21"/>
    <mergeCell ref="C1:C2"/>
    <mergeCell ref="A3:B3"/>
    <mergeCell ref="C3:C27"/>
    <mergeCell ref="A16:B16"/>
    <mergeCell ref="A19:B19"/>
  </mergeCells>
  <pageMargins left="0.25" right="0.25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180AA-40CB-41DE-8B45-CD66EDCF54AE}">
  <dimension ref="A1:D27"/>
  <sheetViews>
    <sheetView tabSelected="1" zoomScale="115" zoomScaleNormal="115" workbookViewId="0">
      <selection activeCell="E5" sqref="E5"/>
    </sheetView>
  </sheetViews>
  <sheetFormatPr defaultRowHeight="14.4" x14ac:dyDescent="0.3"/>
  <cols>
    <col min="1" max="1" width="37.44140625" bestFit="1" customWidth="1"/>
    <col min="2" max="2" width="19.44140625" bestFit="1" customWidth="1"/>
    <col min="3" max="3" width="53" customWidth="1"/>
    <col min="4" max="4" width="11.6640625" customWidth="1"/>
  </cols>
  <sheetData>
    <row r="1" spans="1:3" ht="15.6" x14ac:dyDescent="0.3">
      <c r="A1" s="38" t="s">
        <v>25</v>
      </c>
      <c r="B1" s="39" t="s">
        <v>76</v>
      </c>
      <c r="C1" s="61" t="s">
        <v>24</v>
      </c>
    </row>
    <row r="2" spans="1:3" ht="15.6" x14ac:dyDescent="0.3">
      <c r="A2" s="40" t="s">
        <v>0</v>
      </c>
      <c r="B2" s="32" t="s">
        <v>30</v>
      </c>
      <c r="C2" s="62"/>
    </row>
    <row r="3" spans="1:3" ht="14.4" customHeight="1" x14ac:dyDescent="0.3">
      <c r="A3" s="63" t="s">
        <v>7</v>
      </c>
      <c r="B3" s="64"/>
      <c r="C3" s="69" t="s">
        <v>77</v>
      </c>
    </row>
    <row r="4" spans="1:3" x14ac:dyDescent="0.3">
      <c r="A4" s="26" t="s">
        <v>15</v>
      </c>
      <c r="B4" s="33">
        <v>1154.819</v>
      </c>
      <c r="C4" s="69"/>
    </row>
    <row r="5" spans="1:3" x14ac:dyDescent="0.3">
      <c r="A5" s="26" t="s">
        <v>28</v>
      </c>
      <c r="B5" s="34">
        <v>464.16</v>
      </c>
      <c r="C5" s="69"/>
    </row>
    <row r="6" spans="1:3" x14ac:dyDescent="0.3">
      <c r="A6" s="26" t="s">
        <v>27</v>
      </c>
      <c r="B6" s="34">
        <v>31.85</v>
      </c>
      <c r="C6" s="69"/>
    </row>
    <row r="7" spans="1:3" x14ac:dyDescent="0.3">
      <c r="A7" s="26" t="s">
        <v>31</v>
      </c>
      <c r="B7" s="35">
        <v>241.78</v>
      </c>
      <c r="C7" s="69"/>
    </row>
    <row r="8" spans="1:3" x14ac:dyDescent="0.3">
      <c r="A8" s="26" t="s">
        <v>19</v>
      </c>
      <c r="B8" s="34">
        <v>205.31</v>
      </c>
      <c r="C8" s="69"/>
    </row>
    <row r="9" spans="1:3" x14ac:dyDescent="0.3">
      <c r="A9" s="31" t="s">
        <v>48</v>
      </c>
      <c r="B9" s="36">
        <v>79.046000000000006</v>
      </c>
      <c r="C9" s="69"/>
    </row>
    <row r="10" spans="1:3" x14ac:dyDescent="0.3">
      <c r="A10" s="26" t="s">
        <v>8</v>
      </c>
      <c r="B10" s="33">
        <v>99.435000000000002</v>
      </c>
      <c r="C10" s="69"/>
    </row>
    <row r="11" spans="1:3" x14ac:dyDescent="0.3">
      <c r="A11" s="26" t="s">
        <v>10</v>
      </c>
      <c r="B11" s="35">
        <v>304.45999999999998</v>
      </c>
      <c r="C11" s="69"/>
    </row>
    <row r="12" spans="1:3" x14ac:dyDescent="0.3">
      <c r="A12" s="26" t="s">
        <v>74</v>
      </c>
      <c r="B12" s="35">
        <v>30.96</v>
      </c>
      <c r="C12" s="69"/>
    </row>
    <row r="13" spans="1:3" x14ac:dyDescent="0.3">
      <c r="A13" s="65" t="s">
        <v>21</v>
      </c>
      <c r="B13" s="66"/>
      <c r="C13" s="69"/>
    </row>
    <row r="14" spans="1:3" x14ac:dyDescent="0.3">
      <c r="A14" s="27" t="s">
        <v>17</v>
      </c>
      <c r="B14" s="37">
        <v>75.099999999999994</v>
      </c>
      <c r="C14" s="69"/>
    </row>
    <row r="15" spans="1:3" x14ac:dyDescent="0.3">
      <c r="A15" s="27" t="s">
        <v>49</v>
      </c>
      <c r="B15" s="37">
        <v>0</v>
      </c>
      <c r="C15" s="69"/>
    </row>
    <row r="16" spans="1:3" x14ac:dyDescent="0.3">
      <c r="A16" s="65" t="s">
        <v>22</v>
      </c>
      <c r="B16" s="66"/>
      <c r="C16" s="69"/>
    </row>
    <row r="17" spans="1:4" x14ac:dyDescent="0.3">
      <c r="A17" s="26" t="s">
        <v>18</v>
      </c>
      <c r="B17" s="37">
        <v>44.98</v>
      </c>
      <c r="C17" s="69"/>
      <c r="D17" s="29" t="e">
        <f>B4+B14+#REF!</f>
        <v>#REF!</v>
      </c>
    </row>
    <row r="18" spans="1:4" x14ac:dyDescent="0.3">
      <c r="A18" s="26" t="s">
        <v>29</v>
      </c>
      <c r="B18" s="35">
        <v>0</v>
      </c>
      <c r="C18" s="69"/>
      <c r="D18" s="29"/>
    </row>
    <row r="19" spans="1:4" x14ac:dyDescent="0.3">
      <c r="A19" s="67" t="s">
        <v>20</v>
      </c>
      <c r="B19" s="68"/>
      <c r="C19" s="69"/>
    </row>
    <row r="20" spans="1:4" x14ac:dyDescent="0.3">
      <c r="A20" s="26" t="s">
        <v>1</v>
      </c>
      <c r="B20" s="34">
        <v>34.549999999999997</v>
      </c>
      <c r="C20" s="69"/>
    </row>
    <row r="21" spans="1:4" x14ac:dyDescent="0.3">
      <c r="A21" s="26" t="s">
        <v>2</v>
      </c>
      <c r="B21" s="34">
        <v>93.370999999999995</v>
      </c>
      <c r="C21" s="69"/>
    </row>
    <row r="22" spans="1:4" x14ac:dyDescent="0.3">
      <c r="A22" s="26" t="s">
        <v>4</v>
      </c>
      <c r="B22" s="37">
        <v>109.884</v>
      </c>
      <c r="C22" s="69"/>
    </row>
    <row r="23" spans="1:4" x14ac:dyDescent="0.3">
      <c r="A23" s="27" t="s">
        <v>5</v>
      </c>
      <c r="B23" s="35">
        <v>49.34</v>
      </c>
      <c r="C23" s="69"/>
    </row>
    <row r="24" spans="1:4" x14ac:dyDescent="0.3">
      <c r="A24" s="42" t="s">
        <v>50</v>
      </c>
      <c r="B24" s="43">
        <v>16.510000000000002</v>
      </c>
      <c r="C24" s="70"/>
    </row>
    <row r="25" spans="1:4" ht="15" thickBot="1" x14ac:dyDescent="0.35">
      <c r="A25" s="28" t="s">
        <v>6</v>
      </c>
      <c r="B25" s="41">
        <v>4759.6229999999996</v>
      </c>
      <c r="C25" s="71"/>
    </row>
    <row r="26" spans="1:4" x14ac:dyDescent="0.3">
      <c r="C26" t="s">
        <v>75</v>
      </c>
    </row>
    <row r="27" spans="1:4" x14ac:dyDescent="0.3">
      <c r="A27" s="29"/>
      <c r="B27" s="30"/>
    </row>
  </sheetData>
  <mergeCells count="6">
    <mergeCell ref="C1:C2"/>
    <mergeCell ref="A3:B3"/>
    <mergeCell ref="A13:B13"/>
    <mergeCell ref="A16:B16"/>
    <mergeCell ref="A19:B19"/>
    <mergeCell ref="C3:C25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FB5934-F3CA-402C-AC8E-2E0EB2443383}">
  <dimension ref="A1:E10"/>
  <sheetViews>
    <sheetView workbookViewId="0">
      <selection activeCell="H8" sqref="H8"/>
    </sheetView>
  </sheetViews>
  <sheetFormatPr defaultRowHeight="14.4" x14ac:dyDescent="0.3"/>
  <cols>
    <col min="2" max="2" width="16.44140625" customWidth="1"/>
    <col min="3" max="3" width="22.109375" bestFit="1" customWidth="1"/>
    <col min="4" max="4" width="13.44140625" bestFit="1" customWidth="1"/>
    <col min="5" max="5" width="20.44140625" bestFit="1" customWidth="1"/>
  </cols>
  <sheetData>
    <row r="1" spans="1:5" ht="21" x14ac:dyDescent="0.4">
      <c r="A1" s="88" t="s">
        <v>33</v>
      </c>
      <c r="B1" s="89"/>
      <c r="C1" s="89"/>
      <c r="D1" s="89"/>
      <c r="E1" s="90"/>
    </row>
    <row r="2" spans="1:5" ht="21" x14ac:dyDescent="0.4">
      <c r="A2" s="84" t="s">
        <v>45</v>
      </c>
      <c r="B2" s="85"/>
      <c r="C2" s="23" t="s">
        <v>32</v>
      </c>
      <c r="D2" s="24" t="s">
        <v>46</v>
      </c>
      <c r="E2" s="25"/>
    </row>
    <row r="3" spans="1:5" ht="21" x14ac:dyDescent="0.4">
      <c r="A3" s="86" t="s">
        <v>34</v>
      </c>
      <c r="B3" s="87"/>
      <c r="C3" s="23" t="s">
        <v>35</v>
      </c>
      <c r="D3" s="23" t="s">
        <v>36</v>
      </c>
      <c r="E3" s="25" t="s">
        <v>37</v>
      </c>
    </row>
    <row r="4" spans="1:5" ht="21" x14ac:dyDescent="0.4">
      <c r="A4" s="91">
        <v>0.84027777777777779</v>
      </c>
      <c r="B4" s="92"/>
      <c r="C4" s="12">
        <v>0.87847222222222221</v>
      </c>
      <c r="D4" s="11">
        <v>150</v>
      </c>
      <c r="E4" s="18" t="s">
        <v>38</v>
      </c>
    </row>
    <row r="5" spans="1:5" ht="21" x14ac:dyDescent="0.4">
      <c r="A5" s="80">
        <v>0.87847222222222221</v>
      </c>
      <c r="B5" s="81"/>
      <c r="C5" s="12">
        <v>0.9375</v>
      </c>
      <c r="D5" s="11">
        <v>200</v>
      </c>
      <c r="E5" s="19" t="s">
        <v>39</v>
      </c>
    </row>
    <row r="6" spans="1:5" ht="21" x14ac:dyDescent="0.4">
      <c r="A6" s="80">
        <v>0.9375</v>
      </c>
      <c r="B6" s="81"/>
      <c r="C6" s="12">
        <v>0.97916666666666663</v>
      </c>
      <c r="D6" s="11">
        <v>230</v>
      </c>
      <c r="E6" s="18" t="s">
        <v>40</v>
      </c>
    </row>
    <row r="7" spans="1:5" ht="21" x14ac:dyDescent="0.4">
      <c r="A7" s="80">
        <v>0.97916666666666663</v>
      </c>
      <c r="B7" s="81"/>
      <c r="C7" s="12">
        <v>2.0833333333333332E-2</v>
      </c>
      <c r="D7" s="11">
        <v>270</v>
      </c>
      <c r="E7" s="18" t="s">
        <v>40</v>
      </c>
    </row>
    <row r="8" spans="1:5" ht="21" x14ac:dyDescent="0.4">
      <c r="A8" s="80">
        <v>2.0833333333333332E-2</v>
      </c>
      <c r="B8" s="81"/>
      <c r="C8" s="12">
        <v>0.125</v>
      </c>
      <c r="D8" s="11">
        <v>300</v>
      </c>
      <c r="E8" s="18" t="s">
        <v>41</v>
      </c>
    </row>
    <row r="9" spans="1:5" ht="21.6" thickBot="1" x14ac:dyDescent="0.45">
      <c r="A9" s="82">
        <v>0.125</v>
      </c>
      <c r="B9" s="83"/>
      <c r="C9" s="20">
        <v>0.15972222222222221</v>
      </c>
      <c r="D9" s="21">
        <v>330</v>
      </c>
      <c r="E9" s="22" t="s">
        <v>42</v>
      </c>
    </row>
    <row r="10" spans="1:5" ht="18.600000000000001" thickBot="1" x14ac:dyDescent="0.4">
      <c r="A10" s="13" t="s">
        <v>43</v>
      </c>
      <c r="B10" s="14"/>
      <c r="C10" s="15" t="s">
        <v>47</v>
      </c>
      <c r="D10" s="16" t="s">
        <v>44</v>
      </c>
      <c r="E10" s="17"/>
    </row>
  </sheetData>
  <mergeCells count="9">
    <mergeCell ref="A8:B8"/>
    <mergeCell ref="A9:B9"/>
    <mergeCell ref="A2:B2"/>
    <mergeCell ref="A3:B3"/>
    <mergeCell ref="A1:E1"/>
    <mergeCell ref="A4:B4"/>
    <mergeCell ref="A5:B5"/>
    <mergeCell ref="A6:B6"/>
    <mergeCell ref="A7:B7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D80777-C45A-4954-815A-8656AAFDCE3A}">
  <dimension ref="A1:F15"/>
  <sheetViews>
    <sheetView workbookViewId="0">
      <selection activeCell="E6" sqref="E6"/>
    </sheetView>
  </sheetViews>
  <sheetFormatPr defaultRowHeight="14.4" x14ac:dyDescent="0.3"/>
  <cols>
    <col min="1" max="1" width="10.33203125" bestFit="1" customWidth="1"/>
  </cols>
  <sheetData>
    <row r="1" spans="1:6" ht="20.399999999999999" customHeight="1" x14ac:dyDescent="0.3">
      <c r="A1" s="93" t="s">
        <v>51</v>
      </c>
      <c r="B1" s="93"/>
      <c r="C1" s="93"/>
      <c r="D1" s="93"/>
      <c r="E1" s="93"/>
      <c r="F1" s="93"/>
    </row>
    <row r="2" spans="1:6" ht="19.2" customHeight="1" x14ac:dyDescent="0.3">
      <c r="A2" s="46" t="s">
        <v>52</v>
      </c>
      <c r="B2" s="46" t="s">
        <v>53</v>
      </c>
      <c r="C2" s="46" t="s">
        <v>54</v>
      </c>
      <c r="D2" s="46" t="s">
        <v>55</v>
      </c>
      <c r="E2" s="46" t="s">
        <v>57</v>
      </c>
      <c r="F2" s="46" t="s">
        <v>56</v>
      </c>
    </row>
    <row r="3" spans="1:6" x14ac:dyDescent="0.3">
      <c r="A3" s="45">
        <v>46266</v>
      </c>
      <c r="B3" s="47">
        <v>0</v>
      </c>
      <c r="C3" s="47">
        <v>0</v>
      </c>
      <c r="D3" s="47">
        <v>0</v>
      </c>
      <c r="E3" s="47">
        <v>0</v>
      </c>
      <c r="F3" s="47">
        <v>0</v>
      </c>
    </row>
    <row r="4" spans="1:6" x14ac:dyDescent="0.3">
      <c r="A4" s="45">
        <v>46273</v>
      </c>
      <c r="B4" s="47">
        <v>0</v>
      </c>
      <c r="C4" s="47">
        <v>200</v>
      </c>
      <c r="D4" s="47">
        <f>B4+C4</f>
        <v>200</v>
      </c>
      <c r="E4" s="47">
        <v>38.659999999999997</v>
      </c>
      <c r="F4" s="47">
        <f>D4-E4</f>
        <v>161.34</v>
      </c>
    </row>
    <row r="5" spans="1:6" x14ac:dyDescent="0.3">
      <c r="A5" s="45">
        <v>46286</v>
      </c>
      <c r="B5" s="47">
        <f>F4</f>
        <v>161.34</v>
      </c>
      <c r="C5" s="47">
        <v>14.58</v>
      </c>
      <c r="D5" s="47">
        <f>B5+C5</f>
        <v>175.92000000000002</v>
      </c>
      <c r="E5" s="47">
        <v>0</v>
      </c>
      <c r="F5" s="47">
        <f>D5-E5</f>
        <v>175.92000000000002</v>
      </c>
    </row>
    <row r="6" spans="1:6" x14ac:dyDescent="0.3">
      <c r="A6" s="45">
        <v>46289</v>
      </c>
      <c r="B6" s="47">
        <f>F5</f>
        <v>175.92000000000002</v>
      </c>
      <c r="C6" s="44">
        <v>0</v>
      </c>
      <c r="D6" s="47">
        <f>B6+C6</f>
        <v>175.92000000000002</v>
      </c>
      <c r="E6" s="44">
        <v>42</v>
      </c>
      <c r="F6" s="47">
        <f>D6-E6</f>
        <v>133.92000000000002</v>
      </c>
    </row>
    <row r="7" spans="1:6" x14ac:dyDescent="0.3">
      <c r="A7" s="44"/>
      <c r="B7" s="44"/>
      <c r="C7" s="44"/>
      <c r="D7" s="44"/>
      <c r="E7" s="44"/>
      <c r="F7" s="44"/>
    </row>
    <row r="8" spans="1:6" x14ac:dyDescent="0.3">
      <c r="A8" s="44"/>
      <c r="B8" s="44"/>
      <c r="C8" s="44"/>
      <c r="D8" s="44"/>
      <c r="E8" s="44"/>
      <c r="F8" s="44"/>
    </row>
    <row r="9" spans="1:6" x14ac:dyDescent="0.3">
      <c r="A9" s="44"/>
      <c r="B9" s="44"/>
      <c r="C9" s="44"/>
      <c r="D9" s="44"/>
      <c r="E9" s="44"/>
      <c r="F9" s="44"/>
    </row>
    <row r="10" spans="1:6" x14ac:dyDescent="0.3">
      <c r="A10" s="44"/>
      <c r="B10" s="44"/>
      <c r="C10" s="44"/>
      <c r="D10" s="44"/>
      <c r="E10" s="44"/>
      <c r="F10" s="44"/>
    </row>
    <row r="11" spans="1:6" x14ac:dyDescent="0.3">
      <c r="A11" s="44"/>
      <c r="B11" s="44"/>
      <c r="C11" s="44"/>
      <c r="D11" s="44"/>
      <c r="E11" s="44"/>
      <c r="F11" s="44"/>
    </row>
    <row r="12" spans="1:6" x14ac:dyDescent="0.3">
      <c r="A12" s="44"/>
      <c r="B12" s="44"/>
      <c r="C12" s="44"/>
      <c r="D12" s="44"/>
      <c r="E12" s="44"/>
      <c r="F12" s="44"/>
    </row>
    <row r="13" spans="1:6" x14ac:dyDescent="0.3">
      <c r="A13" s="44"/>
      <c r="B13" s="44"/>
      <c r="C13" s="44"/>
      <c r="D13" s="44"/>
      <c r="E13" s="44"/>
      <c r="F13" s="44"/>
    </row>
    <row r="14" spans="1:6" x14ac:dyDescent="0.3">
      <c r="A14" s="44"/>
      <c r="B14" s="44"/>
      <c r="C14" s="44"/>
      <c r="D14" s="44"/>
      <c r="E14" s="44"/>
      <c r="F14" s="44"/>
    </row>
    <row r="15" spans="1:6" x14ac:dyDescent="0.3">
      <c r="A15" s="44"/>
      <c r="B15" s="44"/>
      <c r="C15" s="44"/>
      <c r="D15" s="44"/>
      <c r="E15" s="44"/>
      <c r="F15" s="44"/>
    </row>
  </sheetData>
  <mergeCells count="1">
    <mergeCell ref="A1:F1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80DC39-8FCC-422E-AC48-4F740F477D8E}">
  <sheetPr>
    <pageSetUpPr fitToPage="1"/>
  </sheetPr>
  <dimension ref="A1:D13"/>
  <sheetViews>
    <sheetView workbookViewId="0">
      <selection sqref="A1:D13"/>
    </sheetView>
  </sheetViews>
  <sheetFormatPr defaultRowHeight="14.4" x14ac:dyDescent="0.3"/>
  <cols>
    <col min="1" max="1" width="38.109375" customWidth="1"/>
    <col min="2" max="3" width="36" customWidth="1"/>
    <col min="4" max="4" width="45.109375" customWidth="1"/>
    <col min="5" max="5" width="13.88671875" customWidth="1"/>
    <col min="6" max="6" width="15.6640625" customWidth="1"/>
    <col min="7" max="7" width="14.6640625" customWidth="1"/>
  </cols>
  <sheetData>
    <row r="1" spans="1:4" ht="23.4" x14ac:dyDescent="0.45">
      <c r="A1" s="96" t="s">
        <v>70</v>
      </c>
      <c r="B1" s="97"/>
      <c r="C1" s="98"/>
      <c r="D1" s="99"/>
    </row>
    <row r="2" spans="1:4" ht="23.4" x14ac:dyDescent="0.45">
      <c r="A2" s="48" t="s">
        <v>64</v>
      </c>
      <c r="B2" s="94"/>
      <c r="C2" s="95"/>
      <c r="D2" s="49"/>
    </row>
    <row r="3" spans="1:4" ht="23.4" x14ac:dyDescent="0.45">
      <c r="A3" s="48" t="s">
        <v>65</v>
      </c>
      <c r="B3" s="94"/>
      <c r="C3" s="95"/>
      <c r="D3" s="49" t="s">
        <v>62</v>
      </c>
    </row>
    <row r="4" spans="1:4" ht="23.4" x14ac:dyDescent="0.45">
      <c r="A4" s="48" t="s">
        <v>68</v>
      </c>
      <c r="B4" s="94"/>
      <c r="C4" s="95"/>
      <c r="D4" s="100"/>
    </row>
    <row r="5" spans="1:4" ht="23.4" x14ac:dyDescent="0.45">
      <c r="A5" s="48" t="s">
        <v>69</v>
      </c>
      <c r="B5" s="94"/>
      <c r="C5" s="95"/>
      <c r="D5" s="100"/>
    </row>
    <row r="6" spans="1:4" ht="23.4" x14ac:dyDescent="0.45">
      <c r="A6" s="48" t="s">
        <v>58</v>
      </c>
      <c r="B6" s="94"/>
      <c r="C6" s="95"/>
      <c r="D6" s="100"/>
    </row>
    <row r="7" spans="1:4" ht="23.4" x14ac:dyDescent="0.45">
      <c r="A7" s="48" t="s">
        <v>60</v>
      </c>
      <c r="B7" s="94"/>
      <c r="C7" s="95"/>
      <c r="D7" s="100"/>
    </row>
    <row r="8" spans="1:4" ht="23.4" x14ac:dyDescent="0.45">
      <c r="A8" s="48" t="s">
        <v>59</v>
      </c>
      <c r="B8" s="94"/>
      <c r="C8" s="95"/>
      <c r="D8" s="100"/>
    </row>
    <row r="9" spans="1:4" ht="23.4" customHeight="1" x14ac:dyDescent="0.45">
      <c r="A9" s="59" t="s">
        <v>71</v>
      </c>
      <c r="B9" s="94"/>
      <c r="C9" s="95"/>
      <c r="D9" s="100"/>
    </row>
    <row r="10" spans="1:4" ht="23.4" customHeight="1" x14ac:dyDescent="0.45">
      <c r="A10" s="59" t="s">
        <v>72</v>
      </c>
      <c r="B10" s="94"/>
      <c r="C10" s="95"/>
      <c r="D10" s="100"/>
    </row>
    <row r="11" spans="1:4" ht="23.4" customHeight="1" x14ac:dyDescent="0.45">
      <c r="A11" s="60" t="s">
        <v>73</v>
      </c>
      <c r="B11" s="94"/>
      <c r="C11" s="95"/>
      <c r="D11" s="50"/>
    </row>
    <row r="12" spans="1:4" ht="15.6" x14ac:dyDescent="0.3">
      <c r="A12" s="54" t="s">
        <v>61</v>
      </c>
      <c r="B12" s="55" t="s">
        <v>63</v>
      </c>
      <c r="C12" s="57" t="s">
        <v>66</v>
      </c>
      <c r="D12" s="56" t="s">
        <v>67</v>
      </c>
    </row>
    <row r="13" spans="1:4" ht="43.2" customHeight="1" thickBot="1" x14ac:dyDescent="0.35">
      <c r="A13" s="51"/>
      <c r="B13" s="52"/>
      <c r="C13" s="58"/>
      <c r="D13" s="53"/>
    </row>
  </sheetData>
  <mergeCells count="12">
    <mergeCell ref="B11:C11"/>
    <mergeCell ref="B2:C2"/>
    <mergeCell ref="B8:C8"/>
    <mergeCell ref="A1:D1"/>
    <mergeCell ref="D4:D10"/>
    <mergeCell ref="B3:C3"/>
    <mergeCell ref="B4:C4"/>
    <mergeCell ref="B5:C5"/>
    <mergeCell ref="B6:C6"/>
    <mergeCell ref="B7:C7"/>
    <mergeCell ref="B9:C9"/>
    <mergeCell ref="B10:C10"/>
  </mergeCells>
  <pageMargins left="0.25" right="0.25" top="0.42" bottom="0.75" header="0.3" footer="0.3"/>
  <pageSetup paperSize="9" scale="91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Sheet2</vt:lpstr>
      <vt:lpstr>Stock Opening</vt:lpstr>
      <vt:lpstr>Sheet3</vt:lpstr>
      <vt:lpstr>Scrap Dust (Mix)</vt:lpstr>
      <vt:lpstr>Slag Cruhser Report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SMS PRODUCTION</dc:creator>
  <cp:lastModifiedBy>Santosh Kumar Kohroo</cp:lastModifiedBy>
  <cp:lastPrinted>2026-10-07T06:12:08Z</cp:lastPrinted>
  <dcterms:created xsi:type="dcterms:W3CDTF">2026-01-02T07:49:33Z</dcterms:created>
  <dcterms:modified xsi:type="dcterms:W3CDTF">2026-10-16T12:50:07Z</dcterms:modified>
</cp:coreProperties>
</file>