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eplplant-my.sharepoint.com/personal/santoshkumar_kohroo_marutisteel_in/Documents/Desktop/"/>
    </mc:Choice>
  </mc:AlternateContent>
  <xr:revisionPtr revIDLastSave="667" documentId="8_{0787881B-82B0-408D-8510-CB839D79A6F4}" xr6:coauthVersionLast="47" xr6:coauthVersionMax="47" xr10:uidLastSave="{37E0AE8C-214E-488E-A1C8-A6B2AE0D7C11}"/>
  <bookViews>
    <workbookView xWindow="-108" yWindow="-108" windowWidth="23256" windowHeight="12456" activeTab="3" xr2:uid="{D9153701-57A6-4989-BDE2-5BB7EF62F110}"/>
  </bookViews>
  <sheets>
    <sheet name="Recieving" sheetId="1" r:id="rId1"/>
    <sheet name="Issue " sheetId="2" r:id="rId2"/>
    <sheet name="Slag Crusher " sheetId="3" r:id="rId3"/>
    <sheet name="Monthly" sheetId="4" r:id="rId4"/>
    <sheet name="Sheet1" sheetId="5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3" i="4" l="1"/>
  <c r="C3" i="5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4" i="2"/>
  <c r="AD35" i="2"/>
  <c r="AC35" i="2"/>
  <c r="AB35" i="2"/>
  <c r="AA35" i="2"/>
  <c r="Z35" i="2"/>
  <c r="Y35" i="2"/>
  <c r="X35" i="2"/>
  <c r="V35" i="2"/>
  <c r="U35" i="2"/>
  <c r="T35" i="2"/>
  <c r="R35" i="2"/>
  <c r="Q35" i="2"/>
  <c r="P35" i="2"/>
  <c r="O35" i="2"/>
  <c r="N35" i="2"/>
  <c r="M35" i="2"/>
  <c r="M38" i="2" s="1"/>
  <c r="L35" i="2"/>
  <c r="K35" i="2"/>
  <c r="J35" i="2"/>
  <c r="I35" i="2"/>
  <c r="H35" i="2"/>
  <c r="G35" i="2"/>
  <c r="G38" i="2" s="1"/>
  <c r="F35" i="2"/>
  <c r="E35" i="2"/>
  <c r="D35" i="2"/>
  <c r="C35" i="2"/>
  <c r="B35" i="2"/>
  <c r="W34" i="2"/>
  <c r="S34" i="2"/>
  <c r="W33" i="2"/>
  <c r="S33" i="2"/>
  <c r="W32" i="2"/>
  <c r="S32" i="2"/>
  <c r="W31" i="2"/>
  <c r="S31" i="2"/>
  <c r="W30" i="2"/>
  <c r="S30" i="2"/>
  <c r="W29" i="2"/>
  <c r="S29" i="2"/>
  <c r="W28" i="2"/>
  <c r="S28" i="2"/>
  <c r="W27" i="2"/>
  <c r="S27" i="2"/>
  <c r="W26" i="2"/>
  <c r="S26" i="2"/>
  <c r="W25" i="2"/>
  <c r="S25" i="2"/>
  <c r="W24" i="2"/>
  <c r="S24" i="2"/>
  <c r="W23" i="2"/>
  <c r="S23" i="2"/>
  <c r="W22" i="2"/>
  <c r="S22" i="2"/>
  <c r="W21" i="2"/>
  <c r="S21" i="2"/>
  <c r="W20" i="2"/>
  <c r="S20" i="2"/>
  <c r="S19" i="2"/>
  <c r="W19" i="2" s="1"/>
  <c r="S18" i="2"/>
  <c r="W18" i="2" s="1"/>
  <c r="S17" i="2"/>
  <c r="W17" i="2" s="1"/>
  <c r="S16" i="2"/>
  <c r="W16" i="2" s="1"/>
  <c r="W15" i="2"/>
  <c r="S15" i="2"/>
  <c r="W14" i="2"/>
  <c r="S14" i="2"/>
  <c r="W13" i="2"/>
  <c r="S13" i="2"/>
  <c r="W12" i="2"/>
  <c r="S12" i="2"/>
  <c r="W11" i="2"/>
  <c r="S11" i="2"/>
  <c r="W10" i="2"/>
  <c r="S10" i="2"/>
  <c r="W9" i="2"/>
  <c r="S9" i="2"/>
  <c r="W8" i="2"/>
  <c r="S8" i="2"/>
  <c r="W7" i="2"/>
  <c r="S7" i="2"/>
  <c r="W6" i="2"/>
  <c r="S6" i="2"/>
  <c r="W5" i="2"/>
  <c r="S5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W4" i="2"/>
  <c r="S4" i="2"/>
  <c r="S1" i="2"/>
  <c r="AF34" i="1"/>
  <c r="AE34" i="1"/>
  <c r="AD34" i="1"/>
  <c r="AC34" i="1"/>
  <c r="AB34" i="1"/>
  <c r="Z34" i="1"/>
  <c r="Y34" i="1"/>
  <c r="X34" i="1"/>
  <c r="W34" i="1"/>
  <c r="V34" i="1"/>
  <c r="V35" i="1" s="1"/>
  <c r="T34" i="1"/>
  <c r="S34" i="1"/>
  <c r="R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I33" i="1"/>
  <c r="AH33" i="1"/>
  <c r="B33" i="1"/>
  <c r="AG33" i="1" s="1"/>
  <c r="AI32" i="1"/>
  <c r="AH32" i="1"/>
  <c r="AG32" i="1"/>
  <c r="Q32" i="1"/>
  <c r="AI31" i="1"/>
  <c r="AH31" i="1"/>
  <c r="AG31" i="1"/>
  <c r="Q31" i="1"/>
  <c r="AI30" i="1"/>
  <c r="AH30" i="1"/>
  <c r="AG30" i="1"/>
  <c r="Q30" i="1"/>
  <c r="AI29" i="1"/>
  <c r="AH29" i="1"/>
  <c r="AG29" i="1"/>
  <c r="Q29" i="1"/>
  <c r="AI28" i="1"/>
  <c r="AH28" i="1"/>
  <c r="AG28" i="1"/>
  <c r="Q28" i="1"/>
  <c r="AI27" i="1"/>
  <c r="AH27" i="1"/>
  <c r="AG27" i="1"/>
  <c r="Q27" i="1"/>
  <c r="AI26" i="1"/>
  <c r="AH26" i="1"/>
  <c r="AG26" i="1"/>
  <c r="Q26" i="1"/>
  <c r="AI25" i="1"/>
  <c r="AH25" i="1"/>
  <c r="AG25" i="1"/>
  <c r="Q25" i="1"/>
  <c r="AI24" i="1"/>
  <c r="AH24" i="1"/>
  <c r="AG24" i="1"/>
  <c r="Q24" i="1"/>
  <c r="AI23" i="1"/>
  <c r="AH23" i="1"/>
  <c r="AG23" i="1"/>
  <c r="Q23" i="1"/>
  <c r="AI22" i="1"/>
  <c r="AH22" i="1"/>
  <c r="AG22" i="1"/>
  <c r="Q22" i="1"/>
  <c r="AI21" i="1"/>
  <c r="AH21" i="1"/>
  <c r="AG21" i="1"/>
  <c r="Q21" i="1"/>
  <c r="AI20" i="1"/>
  <c r="AH20" i="1"/>
  <c r="AG20" i="1"/>
  <c r="Q20" i="1"/>
  <c r="AI19" i="1"/>
  <c r="AH19" i="1"/>
  <c r="AG19" i="1"/>
  <c r="Q19" i="1"/>
  <c r="AI18" i="1"/>
  <c r="AH18" i="1"/>
  <c r="AG18" i="1"/>
  <c r="Q18" i="1"/>
  <c r="AI17" i="1"/>
  <c r="AH17" i="1"/>
  <c r="AG17" i="1"/>
  <c r="Q17" i="1"/>
  <c r="AI16" i="1"/>
  <c r="AH16" i="1"/>
  <c r="AG16" i="1"/>
  <c r="Q16" i="1"/>
  <c r="AI15" i="1"/>
  <c r="AH15" i="1"/>
  <c r="AG15" i="1"/>
  <c r="Q15" i="1"/>
  <c r="AI14" i="1"/>
  <c r="AH14" i="1"/>
  <c r="AG14" i="1"/>
  <c r="Q14" i="1"/>
  <c r="AI13" i="1"/>
  <c r="AH13" i="1"/>
  <c r="AG13" i="1"/>
  <c r="Q13" i="1"/>
  <c r="AI12" i="1"/>
  <c r="AH12" i="1"/>
  <c r="AG12" i="1"/>
  <c r="Q12" i="1"/>
  <c r="AI11" i="1"/>
  <c r="AH11" i="1"/>
  <c r="AG11" i="1"/>
  <c r="Q11" i="1"/>
  <c r="AI10" i="1"/>
  <c r="AH10" i="1"/>
  <c r="AG10" i="1"/>
  <c r="Q10" i="1"/>
  <c r="AI9" i="1"/>
  <c r="AH9" i="1"/>
  <c r="AG9" i="1"/>
  <c r="Q9" i="1"/>
  <c r="AI8" i="1"/>
  <c r="AH8" i="1"/>
  <c r="AG8" i="1"/>
  <c r="Q8" i="1"/>
  <c r="AI7" i="1"/>
  <c r="AH7" i="1"/>
  <c r="AG7" i="1"/>
  <c r="Q7" i="1"/>
  <c r="AI6" i="1"/>
  <c r="AH6" i="1"/>
  <c r="AG6" i="1"/>
  <c r="Q6" i="1"/>
  <c r="AI5" i="1"/>
  <c r="AH5" i="1"/>
  <c r="AG5" i="1"/>
  <c r="Q5" i="1"/>
  <c r="AI4" i="1"/>
  <c r="AH4" i="1"/>
  <c r="AG4" i="1"/>
  <c r="Q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3" i="1"/>
  <c r="AH3" i="1"/>
  <c r="AG3" i="1"/>
  <c r="Q3" i="1"/>
  <c r="S35" i="2" l="1"/>
  <c r="W35" i="2" s="1"/>
  <c r="AC36" i="2"/>
  <c r="AG34" i="1"/>
  <c r="H36" i="1"/>
  <c r="G36" i="1"/>
  <c r="AH34" i="1"/>
  <c r="AH36" i="1" s="1"/>
  <c r="AI34" i="1"/>
  <c r="AI36" i="1" s="1"/>
  <c r="B34" i="1"/>
  <c r="D39" i="1" s="1"/>
  <c r="Q33" i="1"/>
  <c r="Q34" i="1" s="1"/>
  <c r="AG36" i="1" l="1"/>
  <c r="W42" i="4"/>
  <c r="J34" i="3"/>
  <c r="I34" i="3"/>
  <c r="H34" i="3"/>
  <c r="F34" i="3"/>
  <c r="E34" i="3"/>
  <c r="C34" i="3"/>
  <c r="G13" i="4"/>
  <c r="G9" i="4"/>
  <c r="G11" i="4"/>
  <c r="E13" i="4"/>
  <c r="G21" i="4" l="1"/>
  <c r="E21" i="4"/>
  <c r="F21" i="4" s="1"/>
  <c r="G20" i="4"/>
  <c r="E20" i="4"/>
  <c r="F20" i="4" s="1"/>
  <c r="G19" i="4"/>
  <c r="E19" i="4"/>
  <c r="F19" i="4" s="1"/>
  <c r="I24" i="4"/>
  <c r="I26" i="4" s="1"/>
  <c r="P37" i="4"/>
  <c r="P34" i="4"/>
  <c r="P33" i="4"/>
  <c r="P26" i="4"/>
  <c r="P25" i="4"/>
  <c r="P24" i="4"/>
  <c r="C27" i="4"/>
  <c r="C25" i="4"/>
  <c r="C24" i="4"/>
  <c r="G16" i="4"/>
  <c r="G15" i="4"/>
  <c r="G14" i="4"/>
  <c r="G12" i="4"/>
  <c r="G10" i="4"/>
  <c r="G8" i="4"/>
  <c r="G7" i="4"/>
  <c r="G6" i="4"/>
  <c r="G4" i="4"/>
  <c r="E16" i="4"/>
  <c r="F16" i="4" s="1"/>
  <c r="E15" i="4"/>
  <c r="F15" i="4" s="1"/>
  <c r="E14" i="4"/>
  <c r="F14" i="4" s="1"/>
  <c r="E12" i="4"/>
  <c r="F12" i="4" s="1"/>
  <c r="E11" i="4"/>
  <c r="F11" i="4" s="1"/>
  <c r="H11" i="4" s="1"/>
  <c r="E10" i="4"/>
  <c r="F10" i="4" s="1"/>
  <c r="E9" i="4"/>
  <c r="F9" i="4" s="1"/>
  <c r="H9" i="4" s="1"/>
  <c r="E8" i="4"/>
  <c r="F8" i="4" s="1"/>
  <c r="E7" i="4"/>
  <c r="F7" i="4" s="1"/>
  <c r="E6" i="4"/>
  <c r="F6" i="4" s="1"/>
  <c r="W22" i="4"/>
  <c r="W4" i="4" s="1"/>
  <c r="U17" i="4"/>
  <c r="T17" i="4"/>
  <c r="S17" i="4"/>
  <c r="R17" i="4"/>
  <c r="Q17" i="4"/>
  <c r="P17" i="4"/>
  <c r="D17" i="4"/>
  <c r="F13" i="4"/>
  <c r="H13" i="4" s="1"/>
  <c r="P39" i="4"/>
  <c r="P38" i="4"/>
  <c r="D3" i="3"/>
  <c r="G3" i="3" s="1"/>
  <c r="B4" i="3" s="1"/>
  <c r="D4" i="3" s="1"/>
  <c r="G4" i="3" s="1"/>
  <c r="B5" i="3" s="1"/>
  <c r="D5" i="3" s="1"/>
  <c r="G5" i="3" s="1"/>
  <c r="B6" i="3" s="1"/>
  <c r="D6" i="3" s="1"/>
  <c r="G6" i="3" s="1"/>
  <c r="B7" i="3" s="1"/>
  <c r="D7" i="3" s="1"/>
  <c r="G7" i="3" s="1"/>
  <c r="B8" i="3" s="1"/>
  <c r="D8" i="3" s="1"/>
  <c r="G8" i="3" s="1"/>
  <c r="B9" i="3" s="1"/>
  <c r="D9" i="3" s="1"/>
  <c r="G9" i="3" s="1"/>
  <c r="B10" i="3" s="1"/>
  <c r="D10" i="3" s="1"/>
  <c r="G10" i="3" s="1"/>
  <c r="B11" i="3" s="1"/>
  <c r="D11" i="3" s="1"/>
  <c r="G11" i="3" s="1"/>
  <c r="B12" i="3" s="1"/>
  <c r="D12" i="3" s="1"/>
  <c r="G12" i="3" s="1"/>
  <c r="B13" i="3" s="1"/>
  <c r="D13" i="3" s="1"/>
  <c r="G13" i="3" s="1"/>
  <c r="B14" i="3" s="1"/>
  <c r="D14" i="3" s="1"/>
  <c r="G14" i="3" s="1"/>
  <c r="B15" i="3" s="1"/>
  <c r="D15" i="3" s="1"/>
  <c r="G15" i="3" s="1"/>
  <c r="B16" i="3" s="1"/>
  <c r="D16" i="3" s="1"/>
  <c r="G16" i="3" s="1"/>
  <c r="B17" i="3" s="1"/>
  <c r="D17" i="3" s="1"/>
  <c r="G17" i="3" s="1"/>
  <c r="B18" i="3" s="1"/>
  <c r="D18" i="3" s="1"/>
  <c r="G18" i="3" s="1"/>
  <c r="B19" i="3" s="1"/>
  <c r="D19" i="3" s="1"/>
  <c r="G19" i="3" s="1"/>
  <c r="B20" i="3" s="1"/>
  <c r="D20" i="3" s="1"/>
  <c r="G20" i="3" s="1"/>
  <c r="B21" i="3" s="1"/>
  <c r="D21" i="3" s="1"/>
  <c r="G21" i="3" s="1"/>
  <c r="B22" i="3" s="1"/>
  <c r="D22" i="3" s="1"/>
  <c r="G22" i="3" s="1"/>
  <c r="B23" i="3" s="1"/>
  <c r="D23" i="3" s="1"/>
  <c r="G23" i="3" s="1"/>
  <c r="B24" i="3" s="1"/>
  <c r="D24" i="3" s="1"/>
  <c r="G24" i="3" s="1"/>
  <c r="B25" i="3" s="1"/>
  <c r="D25" i="3" s="1"/>
  <c r="G25" i="3" s="1"/>
  <c r="B26" i="3" s="1"/>
  <c r="D26" i="3" s="1"/>
  <c r="G26" i="3" s="1"/>
  <c r="B27" i="3" s="1"/>
  <c r="D27" i="3" s="1"/>
  <c r="G27" i="3" s="1"/>
  <c r="B28" i="3" s="1"/>
  <c r="D28" i="3" s="1"/>
  <c r="G28" i="3" s="1"/>
  <c r="B29" i="3" s="1"/>
  <c r="D29" i="3" s="1"/>
  <c r="G29" i="3" s="1"/>
  <c r="B30" i="3" s="1"/>
  <c r="D30" i="3" s="1"/>
  <c r="G30" i="3" s="1"/>
  <c r="B31" i="3" s="1"/>
  <c r="D31" i="3" s="1"/>
  <c r="G31" i="3" s="1"/>
  <c r="B32" i="3" s="1"/>
  <c r="D32" i="3" s="1"/>
  <c r="G32" i="3" s="1"/>
  <c r="B33" i="3" s="1"/>
  <c r="D33" i="3" s="1"/>
  <c r="G33" i="3" s="1"/>
  <c r="G5" i="4"/>
  <c r="E4" i="4"/>
  <c r="F4" i="4" s="1"/>
  <c r="H7" i="4" l="1"/>
  <c r="H8" i="4"/>
  <c r="H21" i="4"/>
  <c r="E24" i="4"/>
  <c r="E25" i="4"/>
  <c r="P35" i="4"/>
  <c r="M5" i="4"/>
  <c r="L5" i="4" s="1"/>
  <c r="E5" i="4"/>
  <c r="F5" i="4" s="1"/>
  <c r="F17" i="4" s="1"/>
  <c r="H20" i="4"/>
  <c r="M6" i="4"/>
  <c r="L6" i="4" s="1"/>
  <c r="M4" i="4"/>
  <c r="L4" i="4" s="1"/>
  <c r="H10" i="4"/>
  <c r="P40" i="4"/>
  <c r="P28" i="4"/>
  <c r="H12" i="4"/>
  <c r="H14" i="4"/>
  <c r="H15" i="4"/>
  <c r="H16" i="4"/>
  <c r="H6" i="4"/>
  <c r="H19" i="4"/>
  <c r="P27" i="4"/>
  <c r="G17" i="4"/>
  <c r="W20" i="4"/>
  <c r="I20" i="4" s="1"/>
  <c r="F36" i="3"/>
  <c r="H4" i="4"/>
  <c r="I4" i="4"/>
  <c r="W5" i="4"/>
  <c r="I5" i="4" s="1"/>
  <c r="C26" i="4"/>
  <c r="W6" i="4"/>
  <c r="I6" i="4" s="1"/>
  <c r="W7" i="4"/>
  <c r="I7" i="4" s="1"/>
  <c r="W8" i="4"/>
  <c r="I8" i="4" s="1"/>
  <c r="W9" i="4"/>
  <c r="I9" i="4" s="1"/>
  <c r="W10" i="4"/>
  <c r="I10" i="4" s="1"/>
  <c r="W11" i="4"/>
  <c r="I11" i="4" s="1"/>
  <c r="W12" i="4"/>
  <c r="I12" i="4" s="1"/>
  <c r="W13" i="4"/>
  <c r="I13" i="4" s="1"/>
  <c r="W14" i="4"/>
  <c r="I14" i="4" s="1"/>
  <c r="W15" i="4"/>
  <c r="I15" i="4" s="1"/>
  <c r="W16" i="4"/>
  <c r="I16" i="4" s="1"/>
  <c r="P1" i="4"/>
  <c r="H5" i="4" l="1"/>
  <c r="H17" i="4" s="1"/>
  <c r="E17" i="4"/>
  <c r="E26" i="4"/>
  <c r="M26" i="4"/>
  <c r="M30" i="4" s="1"/>
  <c r="N12" i="4"/>
  <c r="J6" i="4"/>
  <c r="K6" i="4" s="1"/>
  <c r="L22" i="4"/>
  <c r="T25" i="4" s="1"/>
  <c r="T29" i="4" s="1"/>
  <c r="J16" i="4"/>
  <c r="K16" i="4" s="1"/>
  <c r="J9" i="4"/>
  <c r="K9" i="4" s="1"/>
  <c r="J10" i="4"/>
  <c r="K10" i="4" s="1"/>
  <c r="J5" i="4"/>
  <c r="K5" i="4" s="1"/>
  <c r="J13" i="4"/>
  <c r="K13" i="4" s="1"/>
  <c r="J4" i="4"/>
  <c r="J14" i="4"/>
  <c r="K14" i="4" s="1"/>
  <c r="J7" i="4"/>
  <c r="K7" i="4" s="1"/>
  <c r="J8" i="4"/>
  <c r="K8" i="4" s="1"/>
  <c r="J20" i="4"/>
  <c r="K20" i="4" s="1"/>
  <c r="J12" i="4"/>
  <c r="K12" i="4" s="1"/>
  <c r="J11" i="4"/>
  <c r="K11" i="4" s="1"/>
  <c r="J15" i="4"/>
  <c r="K15" i="4" s="1"/>
  <c r="I17" i="4"/>
  <c r="H25" i="4"/>
  <c r="K25" i="4" s="1"/>
  <c r="W17" i="4"/>
  <c r="H24" i="4"/>
  <c r="M28" i="4" l="1"/>
  <c r="T31" i="4"/>
  <c r="T32" i="4" s="1"/>
  <c r="J17" i="4"/>
  <c r="K4" i="4"/>
  <c r="K17" i="4" s="1"/>
  <c r="M22" i="4" s="1"/>
  <c r="K24" i="4"/>
  <c r="K26" i="4" s="1"/>
  <c r="H26" i="4"/>
  <c r="J21" i="4" l="1"/>
  <c r="L34" i="4"/>
  <c r="P36" i="4"/>
  <c r="J19" i="4"/>
  <c r="F24" i="4"/>
  <c r="G24" i="4" s="1"/>
  <c r="T36" i="4"/>
  <c r="T38" i="4" s="1"/>
  <c r="T40" i="4" s="1"/>
  <c r="T41" i="4" s="1"/>
  <c r="T42" i="4" s="1"/>
  <c r="T43" i="4" s="1"/>
  <c r="W43" i="4" l="1"/>
  <c r="F25" i="4" s="1"/>
  <c r="G25" i="4" s="1"/>
  <c r="G26" i="4" s="1"/>
  <c r="L26" i="4"/>
  <c r="L30" i="4" s="1"/>
  <c r="L31" i="4" s="1"/>
  <c r="L28" i="4" l="1"/>
  <c r="F26" i="4"/>
</calcChain>
</file>

<file path=xl/sharedStrings.xml><?xml version="1.0" encoding="utf-8"?>
<sst xmlns="http://schemas.openxmlformats.org/spreadsheetml/2006/main" count="221" uniqueCount="178">
  <si>
    <t>DATE</t>
  </si>
  <si>
    <t xml:space="preserve">LUMPS INSIDE </t>
  </si>
  <si>
    <t>LUMPS OUTSIDE</t>
  </si>
  <si>
    <t>FINES INSIDE</t>
  </si>
  <si>
    <t>FINES OUTSIDE</t>
  </si>
  <si>
    <t>PELLETS</t>
  </si>
  <si>
    <t xml:space="preserve">SCRAP </t>
  </si>
  <si>
    <t>SM /PM /
R. Scrap</t>
  </si>
  <si>
    <t>PIG IRON SPLASHES</t>
  </si>
  <si>
    <t>CI Mix Scrap</t>
  </si>
  <si>
    <t>GRANULES OF PIG IRON</t>
  </si>
  <si>
    <t>PIG IRON</t>
  </si>
  <si>
    <t>CI SKULL</t>
  </si>
  <si>
    <t>MS Scrap</t>
  </si>
  <si>
    <t>SLAG IRON
Mag</t>
  </si>
  <si>
    <t>Over Size
MAG</t>
  </si>
  <si>
    <t>TOTAL</t>
  </si>
  <si>
    <t>BILLET END CUT</t>
  </si>
  <si>
    <t>SLAG JAAM</t>
  </si>
  <si>
    <t>MILL SCAL</t>
  </si>
  <si>
    <t>Internal Lumps
Fe(M)</t>
  </si>
  <si>
    <t>Outer Lumps
Fe(M)</t>
  </si>
  <si>
    <t>Pillets
Fe(M)</t>
  </si>
  <si>
    <t>Internal Fines
Fe(M)</t>
  </si>
  <si>
    <t>Outer Fines
Fe(M)</t>
  </si>
  <si>
    <t>Shearing Machine</t>
  </si>
  <si>
    <t xml:space="preserve">A/L -Power </t>
  </si>
  <si>
    <t>Silicon magnese</t>
  </si>
  <si>
    <t>Lumps Total
Fe(M)</t>
  </si>
  <si>
    <t>Pillets Total
Fe(M)</t>
  </si>
  <si>
    <t>Fines Total
Fe(M)</t>
  </si>
  <si>
    <t>RECIVED RAW MATRIALS</t>
  </si>
  <si>
    <t>Running (Hr)</t>
  </si>
  <si>
    <t>Production</t>
  </si>
  <si>
    <t>P/Days</t>
  </si>
  <si>
    <t>Received</t>
  </si>
  <si>
    <t>Issue</t>
  </si>
  <si>
    <t xml:space="preserve"> </t>
  </si>
  <si>
    <t>CONSUMPTION</t>
  </si>
  <si>
    <t>&lt;---Target</t>
  </si>
  <si>
    <t xml:space="preserve"> LUMPS</t>
  </si>
  <si>
    <t xml:space="preserve"> LUMPS
OUTSIDE</t>
  </si>
  <si>
    <t>OUT FINES</t>
  </si>
  <si>
    <t>FINES</t>
  </si>
  <si>
    <t xml:space="preserve"> PELLET</t>
  </si>
  <si>
    <t>SCRAP</t>
  </si>
  <si>
    <t>Slag iron
(MAG)</t>
  </si>
  <si>
    <t>Over Size
 MAG</t>
  </si>
  <si>
    <t>Rolling Scrap</t>
  </si>
  <si>
    <t>CI mix Scrap</t>
  </si>
  <si>
    <t>SLAGE WASTE</t>
  </si>
  <si>
    <t>PROD</t>
  </si>
  <si>
    <t>RAW SLAG</t>
  </si>
  <si>
    <t>YIELD</t>
  </si>
  <si>
    <t>Total Heat</t>
  </si>
  <si>
    <t>BAG FILTER DUST</t>
  </si>
  <si>
    <t>SLAG JAM</t>
  </si>
  <si>
    <t>MILL SCALE</t>
  </si>
  <si>
    <t>Furnuce
Power</t>
  </si>
  <si>
    <t>Auxiliary
Power</t>
  </si>
  <si>
    <t>Shearing
M/c</t>
  </si>
  <si>
    <t>RAW SLAG OPENING</t>
  </si>
  <si>
    <t>RAW SLAG PRODUCTION</t>
  </si>
  <si>
    <t>TOTAL RAW SLAG</t>
  </si>
  <si>
    <t>RAW SLAG TRANSFER TO SLAG CRUSHER</t>
  </si>
  <si>
    <t>RAW SLAG CONSUMPTION</t>
  </si>
  <si>
    <t>RAW SLAG BALANCE</t>
  </si>
  <si>
    <t>MAG MATERIAL RECEIVED</t>
  </si>
  <si>
    <t>SLAG JAM RECEIVED</t>
  </si>
  <si>
    <t>OVER SIZE MAG</t>
  </si>
  <si>
    <t>MAG OUT %</t>
  </si>
  <si>
    <t>Total Working Days</t>
  </si>
  <si>
    <t>MIEPL@1</t>
  </si>
  <si>
    <t>SMS Stock and Consumption reports.</t>
  </si>
  <si>
    <t>Approved Charge Mix %</t>
  </si>
  <si>
    <t>Sl no</t>
  </si>
  <si>
    <t>Particular</t>
  </si>
  <si>
    <t>Opening</t>
  </si>
  <si>
    <t>Total</t>
  </si>
  <si>
    <t>Closing</t>
  </si>
  <si>
    <t>% Target Consp.</t>
  </si>
  <si>
    <t>% Actual cons.</t>
  </si>
  <si>
    <t>Metal conv.</t>
  </si>
  <si>
    <t>Assumed yield %</t>
  </si>
  <si>
    <t>%Fe(M)</t>
  </si>
  <si>
    <t>Item</t>
  </si>
  <si>
    <t>CM1</t>
  </si>
  <si>
    <t>CM2</t>
  </si>
  <si>
    <t>CM3</t>
  </si>
  <si>
    <t>CM4</t>
  </si>
  <si>
    <t>CM5</t>
  </si>
  <si>
    <t>CM6</t>
  </si>
  <si>
    <t>CM7</t>
  </si>
  <si>
    <t>Avg</t>
  </si>
  <si>
    <t>SPONGE IRON LUMPS</t>
  </si>
  <si>
    <t>SPONGE IRON FINES</t>
  </si>
  <si>
    <t>SPONGE IRON PELLETS</t>
  </si>
  <si>
    <t>MS SCRAP- ROLLING MILL</t>
  </si>
  <si>
    <t>MS SCRAP</t>
  </si>
  <si>
    <t>SLAG METAL (Mag Material)</t>
  </si>
  <si>
    <t>SLAG METAL</t>
  </si>
  <si>
    <t>&lt;&lt;---- Target</t>
  </si>
  <si>
    <t>Slag Iron (Jam)</t>
  </si>
  <si>
    <t>Salg Iron (Jam)</t>
  </si>
  <si>
    <t>Power Consumption reports .</t>
  </si>
  <si>
    <t>Actual Yield----&gt;&gt;&gt;&gt;</t>
  </si>
  <si>
    <t>Days</t>
  </si>
  <si>
    <t>Area</t>
  </si>
  <si>
    <t>Units (KW)</t>
  </si>
  <si>
    <t>Avg PF</t>
  </si>
  <si>
    <t>Per MT (KW)</t>
  </si>
  <si>
    <t>Target MT (KW)</t>
  </si>
  <si>
    <t>Diff</t>
  </si>
  <si>
    <t>Consumed MWH</t>
  </si>
  <si>
    <t>PP Available MWH</t>
  </si>
  <si>
    <t>Target PLF
(13 MW)</t>
  </si>
  <si>
    <t>Actual PLF</t>
  </si>
  <si>
    <t>Target Prodn</t>
  </si>
  <si>
    <t>Avg. Prodn/day</t>
  </si>
  <si>
    <t xml:space="preserve">SCRAP SHEARING REPORTS </t>
  </si>
  <si>
    <t>SL NO</t>
  </si>
  <si>
    <t>MODEL</t>
  </si>
  <si>
    <t>MT GREEN</t>
  </si>
  <si>
    <t>Furnace</t>
  </si>
  <si>
    <t xml:space="preserve">Total runing hours </t>
  </si>
  <si>
    <t>FURNACE CAPACITY</t>
  </si>
  <si>
    <t>Auxiliary</t>
  </si>
  <si>
    <t>Total scrap cutting (MT)</t>
  </si>
  <si>
    <t>SCRAP YIELD - %</t>
  </si>
  <si>
    <t>Power consumption unit</t>
  </si>
  <si>
    <t>RAW MATERIAL -</t>
  </si>
  <si>
    <t>as per sheet2</t>
  </si>
  <si>
    <t xml:space="preserve"> Billet Production</t>
  </si>
  <si>
    <t>spc production mt /Hrs</t>
  </si>
  <si>
    <t>CARBON ON L.M</t>
  </si>
  <si>
    <t>0.08 to 0.12</t>
  </si>
  <si>
    <t>Daily</t>
  </si>
  <si>
    <t>spc.Power /MT</t>
  </si>
  <si>
    <t>MEGATHERM UPT ON 100%</t>
  </si>
  <si>
    <t>3.A</t>
  </si>
  <si>
    <t>MEGATHERM UPT AS PER AVAILABLE YIELD</t>
  </si>
  <si>
    <t>Monthly</t>
  </si>
  <si>
    <t>SILICON MAG</t>
  </si>
  <si>
    <t>3.B</t>
  </si>
  <si>
    <t>ADDITIONAL POWER @1660</t>
  </si>
  <si>
    <t xml:space="preserve">Diffrence </t>
  </si>
  <si>
    <t>ADDITIONAL PELLETS AND FINES</t>
  </si>
  <si>
    <t>3.C</t>
  </si>
  <si>
    <t>TOTAL UNITS</t>
  </si>
  <si>
    <t>LINING LIFE</t>
  </si>
  <si>
    <t>POWER</t>
  </si>
  <si>
    <t>Balance</t>
  </si>
  <si>
    <t>LOAD FACTOR</t>
  </si>
  <si>
    <t>Average Per m/t</t>
  </si>
  <si>
    <t>MELT RATE</t>
  </si>
  <si>
    <t>Bag Filter Dust</t>
  </si>
  <si>
    <t>TONNAGE AVERAGE</t>
  </si>
  <si>
    <t>Raw Slag</t>
  </si>
  <si>
    <t>HEAT TIME - MINS</t>
  </si>
  <si>
    <t>Mag Material Slag</t>
  </si>
  <si>
    <t>LOSS OF TIME  IN MIN ON A/C  SLAG OFF  2 TIMES 6MIN, TEMP CHECKING 2 MIN, TAPPING TIME 3 MIN, BACK 1MIN, LINING INSPECTION 2 MINTILTING</t>
  </si>
  <si>
    <t>Mag Output %</t>
  </si>
  <si>
    <t>TOTAL HEAT TIME</t>
  </si>
  <si>
    <t>HEATS PER DAY</t>
  </si>
  <si>
    <t>DAILY PRODUCTION -T</t>
  </si>
  <si>
    <t>Terget</t>
  </si>
  <si>
    <t>October  Month Daily Working Report -2026</t>
  </si>
  <si>
    <t>Strip mill to SMS</t>
  </si>
  <si>
    <t>DRI to SMS</t>
  </si>
  <si>
    <t>SLAG CRUSHER REPORT October-2026</t>
  </si>
  <si>
    <t xml:space="preserve">Dri to sms </t>
  </si>
  <si>
    <t xml:space="preserve">0.130 mt transfer to strip mill </t>
  </si>
  <si>
    <t xml:space="preserve">10.090 mt pig iron transfer to vihan casting </t>
  </si>
  <si>
    <t xml:space="preserve">Prod-If Q2 Buddget </t>
  </si>
  <si>
    <t xml:space="preserve">Month </t>
  </si>
  <si>
    <t xml:space="preserve">Indent Amount </t>
  </si>
  <si>
    <t xml:space="preserve">Buddget Amount </t>
  </si>
  <si>
    <t>Ballence buddget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</si>
</sst>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;@"/>
    <numFmt numFmtId="165" formatCode="_(* #,##0.000_);_(* \(#,##0.000\);_(* &quot;-&quot;??_);_(@_)"/>
    <numFmt numFmtId="166" formatCode="0.000"/>
    <numFmt numFmtId="167" formatCode="h:mm;@"/>
    <numFmt numFmtId="168" formatCode="_ * #,##0.000_ ;_ * \-#,##0.000_ ;_ * &quot;-&quot;??_ ;_ @_ "/>
    <numFmt numFmtId="169" formatCode="_(* #,##0.00_);_(* \(#,##0.00\);_(* &quot;-&quot;??_);_(@_)"/>
    <numFmt numFmtId="170" formatCode="[h]:mm:ss;@"/>
    <numFmt numFmtId="171" formatCode="[$-409]d/mmm;@"/>
    <numFmt numFmtId="172" formatCode="_(* #,##0_);_(* \(#,##0\);_(* &quot;-&quot;??_);_(@_)"/>
    <numFmt numFmtId="173" formatCode="_ * #,##0_ ;_ * \-#,##0_ ;_ * &quot;-&quot;??_ ;_ @_ "/>
    <numFmt numFmtId="174" formatCode="[$-14009]dd\ mmmm\ yyyy;@"/>
    <numFmt numFmtId="175" formatCode="_ * #,##0.00_ ;_ * \-#,##0.00_ ;_ * &quot;-&quot;???_ ;_ @_ "/>
    <numFmt numFmtId="176" formatCode="0.0000"/>
    <numFmt numFmtId="177" formatCode="0.0"/>
    <numFmt numFmtId="178" formatCode="#,##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2060"/>
      <name val="Calibri Light"/>
      <family val="1"/>
      <scheme val="major"/>
    </font>
    <font>
      <b/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421">
    <xf numFmtId="0" fontId="0" fillId="0" borderId="0" xfId="0"/>
    <xf numFmtId="0" fontId="0" fillId="3" borderId="3" xfId="0" applyFill="1" applyBorder="1"/>
    <xf numFmtId="164" fontId="0" fillId="0" borderId="3" xfId="0" applyNumberFormat="1" applyBorder="1"/>
    <xf numFmtId="165" fontId="0" fillId="4" borderId="3" xfId="1" applyNumberFormat="1" applyFont="1" applyFill="1" applyBorder="1" applyAlignment="1">
      <alignment horizontal="center" vertical="center"/>
    </xf>
    <xf numFmtId="166" fontId="0" fillId="0" borderId="3" xfId="0" applyNumberFormat="1" applyBorder="1"/>
    <xf numFmtId="167" fontId="0" fillId="4" borderId="3" xfId="1" applyNumberFormat="1" applyFont="1" applyFill="1" applyBorder="1" applyAlignment="1">
      <alignment horizontal="center" vertical="center"/>
    </xf>
    <xf numFmtId="165" fontId="0" fillId="4" borderId="3" xfId="4" applyNumberFormat="1" applyFont="1" applyFill="1" applyBorder="1" applyAlignment="1">
      <alignment horizontal="center" vertical="center"/>
    </xf>
    <xf numFmtId="43" fontId="0" fillId="4" borderId="3" xfId="1" applyFont="1" applyFill="1" applyBorder="1" applyAlignment="1">
      <alignment horizontal="center" vertical="center"/>
    </xf>
    <xf numFmtId="165" fontId="0" fillId="0" borderId="3" xfId="1" applyNumberFormat="1" applyFont="1" applyFill="1" applyBorder="1" applyAlignment="1">
      <alignment horizontal="center" vertical="center"/>
    </xf>
    <xf numFmtId="168" fontId="0" fillId="4" borderId="3" xfId="1" applyNumberFormat="1" applyFont="1" applyFill="1" applyBorder="1" applyAlignment="1">
      <alignment horizontal="center" vertical="center"/>
    </xf>
    <xf numFmtId="165" fontId="0" fillId="4" borderId="7" xfId="1" applyNumberFormat="1" applyFont="1" applyFill="1" applyBorder="1" applyAlignment="1">
      <alignment horizontal="center" vertical="center"/>
    </xf>
    <xf numFmtId="165" fontId="0" fillId="0" borderId="3" xfId="5" applyNumberFormat="1" applyFont="1" applyBorder="1" applyAlignment="1">
      <alignment horizontal="center" vertical="center"/>
    </xf>
    <xf numFmtId="167" fontId="0" fillId="4" borderId="8" xfId="1" applyNumberFormat="1" applyFont="1" applyFill="1" applyBorder="1" applyAlignment="1">
      <alignment horizontal="center" vertical="center"/>
    </xf>
    <xf numFmtId="165" fontId="0" fillId="4" borderId="9" xfId="4" applyNumberFormat="1" applyFont="1" applyFill="1" applyBorder="1" applyAlignment="1">
      <alignment horizontal="center" vertical="center"/>
    </xf>
    <xf numFmtId="0" fontId="2" fillId="6" borderId="3" xfId="0" applyFont="1" applyFill="1" applyBorder="1"/>
    <xf numFmtId="166" fontId="2" fillId="6" borderId="3" xfId="0" applyNumberFormat="1" applyFont="1" applyFill="1" applyBorder="1" applyAlignment="1">
      <alignment horizontal="center"/>
    </xf>
    <xf numFmtId="166" fontId="2" fillId="6" borderId="3" xfId="0" applyNumberFormat="1" applyFont="1" applyFill="1" applyBorder="1" applyAlignment="1">
      <alignment horizontal="center" wrapText="1"/>
    </xf>
    <xf numFmtId="2" fontId="2" fillId="6" borderId="3" xfId="0" applyNumberFormat="1" applyFont="1" applyFill="1" applyBorder="1" applyAlignment="1">
      <alignment horizontal="center" wrapText="1"/>
    </xf>
    <xf numFmtId="170" fontId="2" fillId="6" borderId="10" xfId="0" applyNumberFormat="1" applyFont="1" applyFill="1" applyBorder="1" applyAlignment="1">
      <alignment horizontal="center" wrapText="1"/>
    </xf>
    <xf numFmtId="166" fontId="2" fillId="6" borderId="11" xfId="0" applyNumberFormat="1" applyFont="1" applyFill="1" applyBorder="1" applyAlignment="1">
      <alignment horizontal="center" wrapText="1"/>
    </xf>
    <xf numFmtId="166" fontId="2" fillId="0" borderId="3" xfId="0" applyNumberFormat="1" applyFont="1" applyBorder="1" applyAlignment="1">
      <alignment horizontal="right"/>
    </xf>
    <xf numFmtId="166" fontId="0" fillId="0" borderId="0" xfId="0" applyNumberFormat="1"/>
    <xf numFmtId="166" fontId="0" fillId="0" borderId="7" xfId="0" applyNumberFormat="1" applyBorder="1" applyAlignment="1">
      <alignment horizontal="center" wrapText="1"/>
    </xf>
    <xf numFmtId="0" fontId="0" fillId="0" borderId="12" xfId="0" applyBorder="1"/>
    <xf numFmtId="166" fontId="3" fillId="5" borderId="3" xfId="0" applyNumberFormat="1" applyFont="1" applyFill="1" applyBorder="1" applyAlignment="1">
      <alignment horizontal="center"/>
    </xf>
    <xf numFmtId="166" fontId="3" fillId="0" borderId="0" xfId="0" applyNumberFormat="1" applyFont="1"/>
    <xf numFmtId="166" fontId="3" fillId="4" borderId="0" xfId="0" applyNumberFormat="1" applyFont="1" applyFill="1"/>
    <xf numFmtId="2" fontId="0" fillId="5" borderId="3" xfId="0" applyNumberFormat="1" applyFill="1" applyBorder="1"/>
    <xf numFmtId="14" fontId="0" fillId="0" borderId="0" xfId="0" applyNumberFormat="1"/>
    <xf numFmtId="165" fontId="0" fillId="4" borderId="0" xfId="1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4" fillId="7" borderId="4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center" vertical="top" wrapText="1"/>
    </xf>
    <xf numFmtId="0" fontId="6" fillId="2" borderId="3" xfId="0" applyFont="1" applyFill="1" applyBorder="1" applyAlignment="1" applyProtection="1">
      <alignment vertical="center" wrapText="1"/>
      <protection hidden="1"/>
    </xf>
    <xf numFmtId="166" fontId="2" fillId="8" borderId="3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171" fontId="0" fillId="0" borderId="3" xfId="0" applyNumberFormat="1" applyBorder="1"/>
    <xf numFmtId="165" fontId="0" fillId="4" borderId="3" xfId="5" applyNumberFormat="1" applyFont="1" applyFill="1" applyBorder="1" applyAlignment="1">
      <alignment horizontal="center" vertical="center"/>
    </xf>
    <xf numFmtId="169" fontId="1" fillId="0" borderId="3" xfId="5" applyFont="1" applyBorder="1" applyAlignment="1">
      <alignment horizontal="center" vertical="center"/>
    </xf>
    <xf numFmtId="165" fontId="0" fillId="0" borderId="15" xfId="5" applyNumberFormat="1" applyFon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172" fontId="0" fillId="0" borderId="3" xfId="5" applyNumberFormat="1" applyFont="1" applyBorder="1" applyAlignment="1">
      <alignment horizontal="center" vertical="center"/>
    </xf>
    <xf numFmtId="172" fontId="0" fillId="4" borderId="3" xfId="5" applyNumberFormat="1" applyFont="1" applyFill="1" applyBorder="1" applyAlignment="1">
      <alignment horizontal="center" vertical="center"/>
    </xf>
    <xf numFmtId="173" fontId="0" fillId="0" borderId="0" xfId="0" applyNumberFormat="1"/>
    <xf numFmtId="2" fontId="0" fillId="0" borderId="0" xfId="0" applyNumberFormat="1"/>
    <xf numFmtId="165" fontId="0" fillId="4" borderId="15" xfId="1" applyNumberFormat="1" applyFont="1" applyFill="1" applyBorder="1" applyAlignment="1">
      <alignment horizontal="center" vertical="center"/>
    </xf>
    <xf numFmtId="165" fontId="0" fillId="0" borderId="3" xfId="5" applyNumberFormat="1" applyFont="1" applyFill="1" applyBorder="1" applyAlignment="1">
      <alignment horizontal="right" vertical="center"/>
    </xf>
    <xf numFmtId="168" fontId="0" fillId="0" borderId="3" xfId="0" applyNumberFormat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169" fontId="7" fillId="9" borderId="3" xfId="5" applyFont="1" applyFill="1" applyBorder="1" applyAlignment="1">
      <alignment horizontal="center" vertical="center"/>
    </xf>
    <xf numFmtId="165" fontId="7" fillId="9" borderId="3" xfId="5" applyNumberFormat="1" applyFont="1" applyFill="1" applyBorder="1" applyAlignment="1">
      <alignment horizontal="center" vertical="center"/>
    </xf>
    <xf numFmtId="169" fontId="7" fillId="9" borderId="3" xfId="5" applyFont="1" applyFill="1" applyBorder="1" applyAlignment="1">
      <alignment horizontal="center" vertical="center" wrapText="1"/>
    </xf>
    <xf numFmtId="168" fontId="7" fillId="9" borderId="3" xfId="3" applyNumberFormat="1" applyFont="1" applyFill="1" applyBorder="1" applyAlignment="1">
      <alignment horizontal="center" vertical="center"/>
    </xf>
    <xf numFmtId="166" fontId="7" fillId="9" borderId="3" xfId="0" applyNumberFormat="1" applyFont="1" applyFill="1" applyBorder="1" applyAlignment="1">
      <alignment horizontal="center" vertical="center"/>
    </xf>
    <xf numFmtId="172" fontId="7" fillId="9" borderId="3" xfId="5" applyNumberFormat="1" applyFont="1" applyFill="1" applyBorder="1" applyAlignment="1">
      <alignment horizontal="left" vertical="center"/>
    </xf>
    <xf numFmtId="172" fontId="7" fillId="9" borderId="3" xfId="5" applyNumberFormat="1" applyFont="1" applyFill="1" applyBorder="1" applyAlignment="1">
      <alignment horizontal="center" vertical="center"/>
    </xf>
    <xf numFmtId="172" fontId="2" fillId="9" borderId="3" xfId="5" applyNumberFormat="1" applyFont="1" applyFill="1" applyBorder="1" applyAlignment="1">
      <alignment horizontal="center" vertical="center"/>
    </xf>
    <xf numFmtId="169" fontId="0" fillId="4" borderId="7" xfId="5" applyFont="1" applyFill="1" applyBorder="1" applyAlignment="1">
      <alignment horizontal="center" vertical="center"/>
    </xf>
    <xf numFmtId="0" fontId="0" fillId="0" borderId="0" xfId="0" applyAlignment="1">
      <alignment wrapText="1"/>
    </xf>
    <xf numFmtId="43" fontId="0" fillId="0" borderId="0" xfId="0" applyNumberFormat="1"/>
    <xf numFmtId="172" fontId="0" fillId="0" borderId="0" xfId="0" applyNumberFormat="1"/>
    <xf numFmtId="43" fontId="8" fillId="0" borderId="0" xfId="0" applyNumberFormat="1" applyFont="1"/>
    <xf numFmtId="169" fontId="0" fillId="0" borderId="0" xfId="0" applyNumberFormat="1"/>
    <xf numFmtId="168" fontId="9" fillId="5" borderId="3" xfId="0" applyNumberFormat="1" applyFont="1" applyFill="1" applyBorder="1"/>
    <xf numFmtId="43" fontId="9" fillId="4" borderId="3" xfId="0" applyNumberFormat="1" applyFont="1" applyFill="1" applyBorder="1"/>
    <xf numFmtId="0" fontId="2" fillId="10" borderId="17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174" fontId="2" fillId="0" borderId="20" xfId="0" applyNumberFormat="1" applyFont="1" applyBorder="1"/>
    <xf numFmtId="166" fontId="0" fillId="0" borderId="15" xfId="0" applyNumberFormat="1" applyBorder="1" applyAlignment="1">
      <alignment horizontal="center"/>
    </xf>
    <xf numFmtId="168" fontId="0" fillId="0" borderId="15" xfId="0" applyNumberFormat="1" applyBorder="1" applyAlignment="1">
      <alignment horizontal="right"/>
    </xf>
    <xf numFmtId="165" fontId="0" fillId="4" borderId="14" xfId="1" applyNumberFormat="1" applyFont="1" applyFill="1" applyBorder="1" applyAlignment="1">
      <alignment horizontal="center" vertical="center"/>
    </xf>
    <xf numFmtId="175" fontId="0" fillId="0" borderId="3" xfId="0" applyNumberFormat="1" applyBorder="1"/>
    <xf numFmtId="166" fontId="0" fillId="0" borderId="3" xfId="0" applyNumberFormat="1" applyBorder="1" applyAlignment="1">
      <alignment horizontal="center"/>
    </xf>
    <xf numFmtId="165" fontId="0" fillId="4" borderId="6" xfId="1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/>
    </xf>
    <xf numFmtId="165" fontId="0" fillId="0" borderId="0" xfId="0" applyNumberFormat="1"/>
    <xf numFmtId="0" fontId="0" fillId="0" borderId="3" xfId="0" applyBorder="1" applyAlignment="1">
      <alignment horizontal="center"/>
    </xf>
    <xf numFmtId="166" fontId="2" fillId="0" borderId="3" xfId="0" applyNumberFormat="1" applyFont="1" applyBorder="1" applyAlignment="1">
      <alignment horizontal="center"/>
    </xf>
    <xf numFmtId="168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6" fontId="2" fillId="0" borderId="3" xfId="0" applyNumberFormat="1" applyFont="1" applyBorder="1"/>
    <xf numFmtId="0" fontId="4" fillId="11" borderId="17" xfId="0" applyFont="1" applyFill="1" applyBorder="1"/>
    <xf numFmtId="2" fontId="4" fillId="11" borderId="21" xfId="0" applyNumberFormat="1" applyFont="1" applyFill="1" applyBorder="1" applyAlignment="1">
      <alignment horizontal="center"/>
    </xf>
    <xf numFmtId="2" fontId="12" fillId="12" borderId="25" xfId="0" applyNumberFormat="1" applyFont="1" applyFill="1" applyBorder="1" applyAlignment="1" applyProtection="1">
      <alignment horizontal="left" vertical="top"/>
      <protection hidden="1"/>
    </xf>
    <xf numFmtId="0" fontId="13" fillId="0" borderId="25" xfId="0" applyFont="1" applyBorder="1" applyAlignment="1" applyProtection="1">
      <alignment horizontal="left" vertical="top"/>
      <protection hidden="1"/>
    </xf>
    <xf numFmtId="0" fontId="10" fillId="0" borderId="25" xfId="6" applyFill="1" applyBorder="1" applyAlignment="1" applyProtection="1">
      <alignment horizontal="left" vertical="top"/>
      <protection hidden="1"/>
    </xf>
    <xf numFmtId="0" fontId="13" fillId="0" borderId="0" xfId="0" applyFont="1" applyAlignment="1" applyProtection="1">
      <alignment horizontal="left" vertical="top"/>
      <protection hidden="1"/>
    </xf>
    <xf numFmtId="0" fontId="14" fillId="0" borderId="0" xfId="0" applyFont="1" applyProtection="1">
      <protection hidden="1"/>
    </xf>
    <xf numFmtId="0" fontId="13" fillId="0" borderId="24" xfId="0" applyFont="1" applyBorder="1" applyAlignment="1" applyProtection="1">
      <alignment vertical="top"/>
      <protection hidden="1"/>
    </xf>
    <xf numFmtId="0" fontId="13" fillId="0" borderId="26" xfId="0" applyFont="1" applyBorder="1" applyAlignment="1" applyProtection="1">
      <alignment horizontal="center" vertical="top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13" fillId="4" borderId="3" xfId="0" applyFont="1" applyFill="1" applyBorder="1" applyAlignment="1" applyProtection="1">
      <alignment horizontal="center" vertical="center" wrapText="1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8" xfId="0" applyFont="1" applyBorder="1" applyAlignment="1" applyProtection="1">
      <alignment horizontal="center" vertical="center" wrapText="1"/>
      <protection hidden="1"/>
    </xf>
    <xf numFmtId="0" fontId="6" fillId="0" borderId="29" xfId="0" applyFont="1" applyBorder="1" applyAlignment="1" applyProtection="1">
      <alignment horizontal="center" vertical="center" wrapText="1"/>
      <protection hidden="1"/>
    </xf>
    <xf numFmtId="0" fontId="6" fillId="0" borderId="30" xfId="0" applyFont="1" applyBorder="1" applyAlignment="1" applyProtection="1">
      <alignment horizontal="center" vertical="center" wrapText="1"/>
      <protection hidden="1"/>
    </xf>
    <xf numFmtId="0" fontId="14" fillId="0" borderId="0" xfId="0" applyFont="1" applyAlignment="1" applyProtection="1">
      <alignment wrapText="1"/>
      <protection hidden="1"/>
    </xf>
    <xf numFmtId="0" fontId="13" fillId="0" borderId="5" xfId="0" applyFont="1" applyBorder="1" applyAlignment="1" applyProtection="1">
      <alignment horizontal="center" vertical="top"/>
      <protection hidden="1"/>
    </xf>
    <xf numFmtId="165" fontId="15" fillId="0" borderId="3" xfId="5" applyNumberFormat="1" applyFont="1" applyFill="1" applyBorder="1" applyAlignment="1" applyProtection="1">
      <alignment vertical="top"/>
      <protection hidden="1"/>
    </xf>
    <xf numFmtId="165" fontId="13" fillId="0" borderId="3" xfId="5" applyNumberFormat="1" applyFont="1" applyFill="1" applyBorder="1" applyAlignment="1" applyProtection="1">
      <alignment vertical="top"/>
      <protection hidden="1"/>
    </xf>
    <xf numFmtId="169" fontId="13" fillId="0" borderId="3" xfId="5" applyFont="1" applyFill="1" applyBorder="1" applyAlignment="1" applyProtection="1">
      <alignment vertical="top"/>
      <protection hidden="1"/>
    </xf>
    <xf numFmtId="10" fontId="13" fillId="5" borderId="3" xfId="3" applyNumberFormat="1" applyFont="1" applyFill="1" applyBorder="1" applyAlignment="1" applyProtection="1">
      <alignment horizontal="right" vertical="top"/>
      <protection hidden="1"/>
    </xf>
    <xf numFmtId="2" fontId="13" fillId="5" borderId="6" xfId="3" applyNumberFormat="1" applyFont="1" applyFill="1" applyBorder="1" applyAlignment="1" applyProtection="1">
      <alignment horizontal="right" vertical="top"/>
      <protection hidden="1"/>
    </xf>
    <xf numFmtId="2" fontId="6" fillId="4" borderId="3" xfId="0" applyNumberFormat="1" applyFont="1" applyFill="1" applyBorder="1" applyAlignment="1" applyProtection="1">
      <alignment vertical="top"/>
      <protection hidden="1"/>
    </xf>
    <xf numFmtId="0" fontId="6" fillId="0" borderId="31" xfId="0" applyFont="1" applyBorder="1" applyAlignment="1" applyProtection="1">
      <alignment horizontal="left" vertical="center"/>
      <protection hidden="1"/>
    </xf>
    <xf numFmtId="1" fontId="13" fillId="0" borderId="27" xfId="0" applyNumberFormat="1" applyFont="1" applyBorder="1" applyAlignment="1" applyProtection="1">
      <alignment horizontal="center" vertical="center"/>
      <protection hidden="1"/>
    </xf>
    <xf numFmtId="1" fontId="13" fillId="0" borderId="2" xfId="0" applyNumberFormat="1" applyFont="1" applyBorder="1" applyAlignment="1" applyProtection="1">
      <alignment horizontal="center" vertical="center"/>
      <protection hidden="1"/>
    </xf>
    <xf numFmtId="2" fontId="13" fillId="0" borderId="32" xfId="0" applyNumberFormat="1" applyFont="1" applyBorder="1" applyAlignment="1" applyProtection="1">
      <alignment horizontal="center" vertical="top"/>
      <protection hidden="1"/>
    </xf>
    <xf numFmtId="2" fontId="16" fillId="4" borderId="0" xfId="0" applyNumberFormat="1" applyFont="1" applyFill="1"/>
    <xf numFmtId="166" fontId="17" fillId="0" borderId="3" xfId="0" applyNumberFormat="1" applyFont="1" applyBorder="1" applyAlignment="1">
      <alignment wrapText="1"/>
    </xf>
    <xf numFmtId="169" fontId="8" fillId="4" borderId="3" xfId="5" applyFont="1" applyFill="1" applyBorder="1" applyAlignment="1" applyProtection="1">
      <alignment vertical="top"/>
      <protection hidden="1"/>
    </xf>
    <xf numFmtId="10" fontId="13" fillId="0" borderId="3" xfId="3" applyNumberFormat="1" applyFont="1" applyFill="1" applyBorder="1" applyAlignment="1" applyProtection="1">
      <alignment horizontal="right" vertical="top"/>
      <protection hidden="1"/>
    </xf>
    <xf numFmtId="2" fontId="13" fillId="0" borderId="33" xfId="3" applyNumberFormat="1" applyFont="1" applyFill="1" applyBorder="1" applyAlignment="1" applyProtection="1">
      <alignment horizontal="right" vertical="top"/>
      <protection hidden="1"/>
    </xf>
    <xf numFmtId="2" fontId="13" fillId="4" borderId="0" xfId="0" applyNumberFormat="1" applyFont="1" applyFill="1" applyAlignment="1" applyProtection="1">
      <alignment vertical="top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1" fontId="13" fillId="5" borderId="3" xfId="0" applyNumberFormat="1" applyFont="1" applyFill="1" applyBorder="1" applyAlignment="1" applyProtection="1">
      <alignment horizontal="center" vertical="center"/>
      <protection hidden="1"/>
    </xf>
    <xf numFmtId="1" fontId="13" fillId="0" borderId="3" xfId="0" applyNumberFormat="1" applyFont="1" applyBorder="1" applyAlignment="1" applyProtection="1">
      <alignment horizontal="center" vertical="center"/>
      <protection hidden="1"/>
    </xf>
    <xf numFmtId="1" fontId="13" fillId="0" borderId="6" xfId="0" applyNumberFormat="1" applyFont="1" applyBorder="1" applyAlignment="1" applyProtection="1">
      <alignment horizontal="center" vertical="center"/>
      <protection hidden="1"/>
    </xf>
    <xf numFmtId="169" fontId="13" fillId="4" borderId="3" xfId="5" applyFont="1" applyFill="1" applyBorder="1" applyAlignment="1" applyProtection="1">
      <alignment vertical="top"/>
      <protection hidden="1"/>
    </xf>
    <xf numFmtId="166" fontId="17" fillId="0" borderId="3" xfId="0" applyNumberFormat="1" applyFont="1" applyBorder="1" applyAlignment="1">
      <alignment vertical="top" wrapText="1"/>
    </xf>
    <xf numFmtId="9" fontId="13" fillId="0" borderId="3" xfId="3" applyFont="1" applyFill="1" applyBorder="1" applyAlignment="1" applyProtection="1">
      <alignment vertical="top"/>
      <protection hidden="1"/>
    </xf>
    <xf numFmtId="0" fontId="13" fillId="0" borderId="33" xfId="3" applyNumberFormat="1" applyFont="1" applyFill="1" applyBorder="1" applyAlignment="1" applyProtection="1">
      <alignment vertical="top"/>
      <protection hidden="1"/>
    </xf>
    <xf numFmtId="166" fontId="17" fillId="0" borderId="3" xfId="0" applyNumberFormat="1" applyFont="1" applyBorder="1" applyAlignment="1">
      <alignment horizontal="right" vertical="top" wrapText="1"/>
    </xf>
    <xf numFmtId="0" fontId="14" fillId="0" borderId="33" xfId="0" applyFont="1" applyBorder="1" applyProtection="1">
      <protection hidden="1"/>
    </xf>
    <xf numFmtId="0" fontId="6" fillId="0" borderId="34" xfId="0" applyFont="1" applyBorder="1" applyAlignment="1" applyProtection="1">
      <alignment horizontal="left" vertical="center"/>
      <protection hidden="1"/>
    </xf>
    <xf numFmtId="169" fontId="20" fillId="0" borderId="3" xfId="5" applyFont="1" applyFill="1" applyBorder="1" applyAlignment="1" applyProtection="1">
      <alignment vertical="top"/>
      <protection hidden="1"/>
    </xf>
    <xf numFmtId="9" fontId="13" fillId="0" borderId="33" xfId="3" applyFont="1" applyFill="1" applyBorder="1" applyAlignment="1" applyProtection="1">
      <alignment vertical="top"/>
      <protection hidden="1"/>
    </xf>
    <xf numFmtId="2" fontId="13" fillId="0" borderId="0" xfId="0" applyNumberFormat="1" applyFont="1" applyAlignment="1" applyProtection="1">
      <alignment vertical="top"/>
      <protection hidden="1"/>
    </xf>
    <xf numFmtId="0" fontId="6" fillId="0" borderId="3" xfId="0" applyFont="1" applyBorder="1" applyAlignment="1" applyProtection="1">
      <alignment vertical="center"/>
      <protection hidden="1"/>
    </xf>
    <xf numFmtId="0" fontId="13" fillId="0" borderId="0" xfId="0" applyFont="1" applyProtection="1">
      <protection hidden="1"/>
    </xf>
    <xf numFmtId="165" fontId="13" fillId="4" borderId="3" xfId="5" applyNumberFormat="1" applyFont="1" applyFill="1" applyBorder="1" applyAlignment="1" applyProtection="1">
      <alignment vertical="top"/>
      <protection hidden="1"/>
    </xf>
    <xf numFmtId="166" fontId="13" fillId="0" borderId="0" xfId="0" applyNumberFormat="1" applyFont="1" applyAlignment="1" applyProtection="1">
      <alignment vertical="top"/>
      <protection hidden="1"/>
    </xf>
    <xf numFmtId="0" fontId="6" fillId="0" borderId="5" xfId="0" applyFont="1" applyBorder="1" applyAlignment="1" applyProtection="1">
      <alignment vertical="center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10" fontId="13" fillId="5" borderId="3" xfId="3" applyNumberFormat="1" applyFont="1" applyFill="1" applyBorder="1" applyAlignment="1" applyProtection="1">
      <alignment vertical="top"/>
      <protection hidden="1"/>
    </xf>
    <xf numFmtId="2" fontId="13" fillId="0" borderId="35" xfId="0" applyNumberFormat="1" applyFont="1" applyBorder="1" applyAlignment="1" applyProtection="1">
      <alignment horizontal="center" vertical="top"/>
      <protection hidden="1"/>
    </xf>
    <xf numFmtId="166" fontId="21" fillId="0" borderId="36" xfId="0" applyNumberFormat="1" applyFont="1" applyBorder="1" applyAlignment="1">
      <alignment wrapText="1"/>
    </xf>
    <xf numFmtId="168" fontId="6" fillId="0" borderId="36" xfId="5" applyNumberFormat="1" applyFont="1" applyFill="1" applyBorder="1" applyAlignment="1" applyProtection="1">
      <alignment vertical="top"/>
      <protection hidden="1"/>
    </xf>
    <xf numFmtId="43" fontId="6" fillId="0" borderId="36" xfId="5" applyNumberFormat="1" applyFont="1" applyFill="1" applyBorder="1" applyAlignment="1" applyProtection="1">
      <alignment vertical="top"/>
      <protection hidden="1"/>
    </xf>
    <xf numFmtId="169" fontId="6" fillId="0" borderId="36" xfId="5" applyFont="1" applyFill="1" applyBorder="1" applyAlignment="1" applyProtection="1">
      <alignment vertical="top"/>
      <protection hidden="1"/>
    </xf>
    <xf numFmtId="168" fontId="5" fillId="13" borderId="36" xfId="5" applyNumberFormat="1" applyFont="1" applyFill="1" applyBorder="1" applyAlignment="1" applyProtection="1">
      <alignment vertical="center"/>
      <protection hidden="1"/>
    </xf>
    <xf numFmtId="176" fontId="13" fillId="0" borderId="0" xfId="0" applyNumberFormat="1" applyFont="1" applyAlignment="1" applyProtection="1">
      <alignment vertical="top"/>
      <protection hidden="1"/>
    </xf>
    <xf numFmtId="0" fontId="6" fillId="14" borderId="5" xfId="0" applyFont="1" applyFill="1" applyBorder="1" applyAlignment="1" applyProtection="1">
      <alignment horizontal="left" vertical="center"/>
      <protection hidden="1"/>
    </xf>
    <xf numFmtId="1" fontId="13" fillId="14" borderId="3" xfId="0" applyNumberFormat="1" applyFont="1" applyFill="1" applyBorder="1" applyAlignment="1" applyProtection="1">
      <alignment horizontal="center" vertical="center"/>
      <protection hidden="1"/>
    </xf>
    <xf numFmtId="1" fontId="13" fillId="15" borderId="6" xfId="0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6" fillId="0" borderId="36" xfId="0" applyFont="1" applyBorder="1" applyAlignment="1" applyProtection="1">
      <alignment horizontal="left" vertical="center"/>
      <protection hidden="1"/>
    </xf>
    <xf numFmtId="0" fontId="11" fillId="0" borderId="9" xfId="0" applyFont="1" applyBorder="1" applyAlignment="1" applyProtection="1">
      <alignment horizontal="center" vertical="center"/>
      <protection hidden="1"/>
    </xf>
    <xf numFmtId="0" fontId="11" fillId="0" borderId="37" xfId="0" applyFont="1" applyBorder="1" applyAlignment="1" applyProtection="1">
      <alignment horizontal="center" vertical="center"/>
      <protection hidden="1"/>
    </xf>
    <xf numFmtId="0" fontId="6" fillId="14" borderId="38" xfId="0" applyFont="1" applyFill="1" applyBorder="1" applyAlignment="1" applyProtection="1">
      <alignment horizontal="left" vertical="center"/>
      <protection hidden="1"/>
    </xf>
    <xf numFmtId="1" fontId="13" fillId="14" borderId="36" xfId="0" applyNumberFormat="1" applyFont="1" applyFill="1" applyBorder="1" applyAlignment="1" applyProtection="1">
      <alignment horizontal="center" vertical="center"/>
      <protection hidden="1"/>
    </xf>
    <xf numFmtId="1" fontId="13" fillId="15" borderId="9" xfId="0" applyNumberFormat="1" applyFont="1" applyFill="1" applyBorder="1" applyAlignment="1" applyProtection="1">
      <alignment horizontal="center" vertical="center"/>
      <protection hidden="1"/>
    </xf>
    <xf numFmtId="169" fontId="6" fillId="0" borderId="3" xfId="5" applyFont="1" applyFill="1" applyBorder="1" applyAlignment="1" applyProtection="1">
      <alignment vertical="top"/>
      <protection hidden="1"/>
    </xf>
    <xf numFmtId="169" fontId="13" fillId="0" borderId="36" xfId="5" applyFont="1" applyFill="1" applyBorder="1" applyAlignment="1" applyProtection="1">
      <alignment vertical="top"/>
      <protection hidden="1"/>
    </xf>
    <xf numFmtId="168" fontId="5" fillId="0" borderId="36" xfId="5" applyNumberFormat="1" applyFont="1" applyFill="1" applyBorder="1" applyAlignment="1" applyProtection="1">
      <alignment vertical="center"/>
      <protection hidden="1"/>
    </xf>
    <xf numFmtId="169" fontId="13" fillId="0" borderId="3" xfId="5" applyFont="1" applyFill="1" applyBorder="1" applyAlignment="1" applyProtection="1">
      <protection hidden="1"/>
    </xf>
    <xf numFmtId="9" fontId="11" fillId="0" borderId="3" xfId="3" applyFont="1" applyFill="1" applyBorder="1" applyAlignment="1" applyProtection="1">
      <alignment vertical="top"/>
      <protection hidden="1"/>
    </xf>
    <xf numFmtId="9" fontId="6" fillId="0" borderId="33" xfId="3" applyFont="1" applyFill="1" applyBorder="1" applyAlignment="1" applyProtection="1">
      <alignment vertical="top"/>
      <protection hidden="1"/>
    </xf>
    <xf numFmtId="0" fontId="6" fillId="0" borderId="10" xfId="0" applyFont="1" applyBorder="1" applyAlignment="1" applyProtection="1">
      <alignment horizontal="left" vertical="center"/>
      <protection hidden="1"/>
    </xf>
    <xf numFmtId="1" fontId="13" fillId="0" borderId="39" xfId="0" applyNumberFormat="1" applyFont="1" applyBorder="1" applyAlignment="1" applyProtection="1">
      <alignment horizontal="center" vertical="center"/>
      <protection hidden="1"/>
    </xf>
    <xf numFmtId="1" fontId="13" fillId="0" borderId="11" xfId="0" applyNumberFormat="1" applyFont="1" applyBorder="1" applyAlignment="1" applyProtection="1">
      <alignment horizontal="center" vertical="center"/>
      <protection hidden="1"/>
    </xf>
    <xf numFmtId="0" fontId="13" fillId="0" borderId="36" xfId="0" applyFont="1" applyBorder="1" applyAlignment="1" applyProtection="1">
      <alignment horizontal="center" vertical="top"/>
      <protection hidden="1"/>
    </xf>
    <xf numFmtId="165" fontId="6" fillId="0" borderId="36" xfId="5" applyNumberFormat="1" applyFont="1" applyFill="1" applyBorder="1" applyAlignment="1" applyProtection="1">
      <alignment vertical="top"/>
      <protection hidden="1"/>
    </xf>
    <xf numFmtId="169" fontId="13" fillId="0" borderId="36" xfId="5" applyFont="1" applyFill="1" applyBorder="1" applyAlignment="1" applyProtection="1">
      <protection hidden="1"/>
    </xf>
    <xf numFmtId="9" fontId="11" fillId="0" borderId="36" xfId="3" applyFont="1" applyFill="1" applyBorder="1" applyAlignment="1" applyProtection="1">
      <alignment vertical="top"/>
      <protection hidden="1"/>
    </xf>
    <xf numFmtId="9" fontId="6" fillId="0" borderId="26" xfId="3" applyFont="1" applyFill="1" applyBorder="1" applyAlignment="1" applyProtection="1">
      <alignment vertical="top"/>
      <protection hidden="1"/>
    </xf>
    <xf numFmtId="0" fontId="6" fillId="0" borderId="40" xfId="0" applyFont="1" applyBorder="1" applyAlignment="1" applyProtection="1">
      <alignment horizontal="left" vertical="center"/>
      <protection hidden="1"/>
    </xf>
    <xf numFmtId="1" fontId="13" fillId="0" borderId="41" xfId="0" applyNumberFormat="1" applyFont="1" applyBorder="1" applyAlignment="1" applyProtection="1">
      <alignment horizontal="center" vertical="center"/>
      <protection hidden="1"/>
    </xf>
    <xf numFmtId="1" fontId="13" fillId="0" borderId="42" xfId="0" applyNumberFormat="1" applyFont="1" applyBorder="1" applyAlignment="1" applyProtection="1">
      <alignment horizontal="center" vertical="center"/>
      <protection hidden="1"/>
    </xf>
    <xf numFmtId="166" fontId="22" fillId="13" borderId="18" xfId="0" applyNumberFormat="1" applyFont="1" applyFill="1" applyBorder="1" applyProtection="1">
      <protection hidden="1"/>
    </xf>
    <xf numFmtId="166" fontId="13" fillId="0" borderId="24" xfId="0" applyNumberFormat="1" applyFont="1" applyBorder="1" applyProtection="1">
      <protection hidden="1"/>
    </xf>
    <xf numFmtId="2" fontId="13" fillId="0" borderId="17" xfId="0" applyNumberFormat="1" applyFont="1" applyBorder="1" applyAlignment="1" applyProtection="1">
      <alignment horizontal="right" vertical="center"/>
      <protection hidden="1"/>
    </xf>
    <xf numFmtId="1" fontId="18" fillId="12" borderId="18" xfId="0" applyNumberFormat="1" applyFont="1" applyFill="1" applyBorder="1" applyAlignment="1" applyProtection="1">
      <alignment horizontal="center" vertical="center"/>
      <protection hidden="1"/>
    </xf>
    <xf numFmtId="1" fontId="18" fillId="12" borderId="41" xfId="0" applyNumberFormat="1" applyFont="1" applyFill="1" applyBorder="1" applyAlignment="1" applyProtection="1">
      <alignment horizontal="center" vertical="center"/>
      <protection hidden="1"/>
    </xf>
    <xf numFmtId="0" fontId="6" fillId="0" borderId="43" xfId="0" applyFont="1" applyBorder="1" applyAlignment="1" applyProtection="1">
      <alignment horizontal="center" vertical="center" wrapText="1"/>
      <protection hidden="1"/>
    </xf>
    <xf numFmtId="0" fontId="6" fillId="0" borderId="44" xfId="0" applyFont="1" applyBorder="1" applyAlignment="1" applyProtection="1">
      <alignment horizontal="center" vertical="center" wrapText="1"/>
      <protection hidden="1"/>
    </xf>
    <xf numFmtId="0" fontId="23" fillId="16" borderId="20" xfId="0" applyFont="1" applyFill="1" applyBorder="1" applyProtection="1">
      <protection hidden="1"/>
    </xf>
    <xf numFmtId="0" fontId="23" fillId="0" borderId="0" xfId="0" applyFont="1" applyAlignment="1" applyProtection="1">
      <alignment horizontal="center"/>
      <protection hidden="1"/>
    </xf>
    <xf numFmtId="2" fontId="14" fillId="0" borderId="0" xfId="0" applyNumberFormat="1" applyFont="1" applyProtection="1">
      <protection hidden="1"/>
    </xf>
    <xf numFmtId="0" fontId="13" fillId="0" borderId="5" xfId="0" applyFont="1" applyBorder="1" applyAlignment="1" applyProtection="1">
      <alignment horizontal="center"/>
      <protection hidden="1"/>
    </xf>
    <xf numFmtId="0" fontId="6" fillId="0" borderId="3" xfId="0" applyFont="1" applyBorder="1" applyProtection="1">
      <protection hidden="1"/>
    </xf>
    <xf numFmtId="173" fontId="13" fillId="0" borderId="3" xfId="5" applyNumberFormat="1" applyFont="1" applyFill="1" applyBorder="1" applyAlignment="1" applyProtection="1">
      <protection hidden="1"/>
    </xf>
    <xf numFmtId="168" fontId="13" fillId="0" borderId="3" xfId="5" applyNumberFormat="1" applyFont="1" applyFill="1" applyBorder="1" applyAlignment="1" applyProtection="1">
      <protection hidden="1"/>
    </xf>
    <xf numFmtId="43" fontId="13" fillId="4" borderId="3" xfId="5" applyNumberFormat="1" applyFont="1" applyFill="1" applyBorder="1" applyAlignment="1" applyProtection="1">
      <protection hidden="1"/>
    </xf>
    <xf numFmtId="1" fontId="13" fillId="0" borderId="3" xfId="0" applyNumberFormat="1" applyFont="1" applyBorder="1" applyProtection="1">
      <protection hidden="1"/>
    </xf>
    <xf numFmtId="43" fontId="18" fillId="5" borderId="3" xfId="0" applyNumberFormat="1" applyFont="1" applyFill="1" applyBorder="1" applyProtection="1">
      <protection hidden="1"/>
    </xf>
    <xf numFmtId="2" fontId="13" fillId="0" borderId="3" xfId="5" applyNumberFormat="1" applyFont="1" applyFill="1" applyBorder="1" applyAlignment="1" applyProtection="1">
      <protection hidden="1"/>
    </xf>
    <xf numFmtId="2" fontId="13" fillId="0" borderId="3" xfId="0" applyNumberFormat="1" applyFont="1" applyBorder="1" applyProtection="1">
      <protection hidden="1"/>
    </xf>
    <xf numFmtId="43" fontId="13" fillId="0" borderId="3" xfId="0" applyNumberFormat="1" applyFont="1" applyBorder="1" applyProtection="1">
      <protection hidden="1"/>
    </xf>
    <xf numFmtId="0" fontId="13" fillId="0" borderId="3" xfId="0" applyFont="1" applyBorder="1" applyProtection="1">
      <protection hidden="1"/>
    </xf>
    <xf numFmtId="0" fontId="13" fillId="0" borderId="33" xfId="0" applyFont="1" applyBorder="1" applyAlignment="1" applyProtection="1">
      <alignment horizontal="left" vertical="top"/>
      <protection hidden="1"/>
    </xf>
    <xf numFmtId="2" fontId="6" fillId="0" borderId="26" xfId="0" applyNumberFormat="1" applyFont="1" applyBorder="1" applyAlignment="1" applyProtection="1">
      <alignment horizontal="center"/>
      <protection hidden="1"/>
    </xf>
    <xf numFmtId="0" fontId="13" fillId="0" borderId="48" xfId="0" applyFont="1" applyBorder="1" applyProtection="1">
      <protection hidden="1"/>
    </xf>
    <xf numFmtId="170" fontId="13" fillId="0" borderId="49" xfId="0" applyNumberFormat="1" applyFont="1" applyBorder="1" applyProtection="1">
      <protection hidden="1"/>
    </xf>
    <xf numFmtId="0" fontId="23" fillId="0" borderId="5" xfId="0" applyFont="1" applyBorder="1" applyAlignment="1" applyProtection="1">
      <alignment horizontal="right"/>
      <protection hidden="1"/>
    </xf>
    <xf numFmtId="43" fontId="13" fillId="0" borderId="3" xfId="5" applyNumberFormat="1" applyFont="1" applyFill="1" applyBorder="1" applyAlignment="1" applyProtection="1">
      <protection hidden="1"/>
    </xf>
    <xf numFmtId="0" fontId="13" fillId="0" borderId="33" xfId="0" applyFont="1" applyBorder="1" applyAlignment="1" applyProtection="1">
      <alignment vertical="top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51" xfId="0" applyFont="1" applyBorder="1" applyProtection="1">
      <protection hidden="1"/>
    </xf>
    <xf numFmtId="0" fontId="13" fillId="0" borderId="33" xfId="0" applyFont="1" applyBorder="1" applyProtection="1">
      <protection hidden="1"/>
    </xf>
    <xf numFmtId="0" fontId="24" fillId="0" borderId="5" xfId="0" applyFont="1" applyBorder="1" applyAlignment="1" applyProtection="1">
      <alignment horizontal="right"/>
      <protection hidden="1"/>
    </xf>
    <xf numFmtId="2" fontId="24" fillId="0" borderId="0" xfId="3" applyNumberFormat="1" applyFont="1" applyFill="1" applyBorder="1" applyAlignment="1" applyProtection="1">
      <alignment horizontal="center"/>
      <protection hidden="1"/>
    </xf>
    <xf numFmtId="0" fontId="13" fillId="0" borderId="38" xfId="0" applyFont="1" applyBorder="1" applyAlignment="1" applyProtection="1">
      <alignment horizontal="center"/>
      <protection hidden="1"/>
    </xf>
    <xf numFmtId="0" fontId="6" fillId="0" borderId="36" xfId="0" applyFont="1" applyBorder="1" applyProtection="1">
      <protection hidden="1"/>
    </xf>
    <xf numFmtId="173" fontId="13" fillId="0" borderId="36" xfId="5" applyNumberFormat="1" applyFont="1" applyFill="1" applyBorder="1" applyAlignment="1" applyProtection="1">
      <protection hidden="1"/>
    </xf>
    <xf numFmtId="43" fontId="13" fillId="0" borderId="36" xfId="0" applyNumberFormat="1" applyFont="1" applyBorder="1" applyProtection="1">
      <protection hidden="1"/>
    </xf>
    <xf numFmtId="168" fontId="6" fillId="0" borderId="36" xfId="5" applyNumberFormat="1" applyFont="1" applyFill="1" applyBorder="1" applyAlignment="1" applyProtection="1">
      <protection hidden="1"/>
    </xf>
    <xf numFmtId="2" fontId="6" fillId="0" borderId="36" xfId="0" applyNumberFormat="1" applyFont="1" applyBorder="1" applyProtection="1">
      <protection hidden="1"/>
    </xf>
    <xf numFmtId="43" fontId="6" fillId="0" borderId="36" xfId="0" applyNumberFormat="1" applyFont="1" applyBorder="1" applyProtection="1">
      <protection hidden="1"/>
    </xf>
    <xf numFmtId="2" fontId="6" fillId="0" borderId="36" xfId="5" applyNumberFormat="1" applyFont="1" applyFill="1" applyBorder="1" applyAlignment="1" applyProtection="1">
      <protection hidden="1"/>
    </xf>
    <xf numFmtId="165" fontId="6" fillId="0" borderId="52" xfId="0" applyNumberFormat="1" applyFont="1" applyBorder="1" applyAlignment="1" applyProtection="1">
      <alignment horizontal="center"/>
      <protection hidden="1"/>
    </xf>
    <xf numFmtId="43" fontId="13" fillId="0" borderId="0" xfId="0" applyNumberFormat="1" applyFont="1" applyProtection="1">
      <protection hidden="1"/>
    </xf>
    <xf numFmtId="0" fontId="24" fillId="0" borderId="0" xfId="3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/>
      <protection hidden="1"/>
    </xf>
    <xf numFmtId="0" fontId="6" fillId="0" borderId="39" xfId="0" applyFont="1" applyBorder="1" applyProtection="1">
      <protection hidden="1"/>
    </xf>
    <xf numFmtId="168" fontId="6" fillId="5" borderId="39" xfId="5" applyNumberFormat="1" applyFont="1" applyFill="1" applyBorder="1" applyAlignment="1" applyProtection="1">
      <protection hidden="1"/>
    </xf>
    <xf numFmtId="0" fontId="13" fillId="0" borderId="39" xfId="0" applyFont="1" applyBorder="1" applyProtection="1">
      <protection hidden="1"/>
    </xf>
    <xf numFmtId="169" fontId="13" fillId="0" borderId="39" xfId="5" applyFont="1" applyFill="1" applyBorder="1" applyAlignment="1" applyProtection="1">
      <protection hidden="1"/>
    </xf>
    <xf numFmtId="169" fontId="13" fillId="5" borderId="39" xfId="5" applyFont="1" applyFill="1" applyBorder="1" applyAlignment="1" applyProtection="1">
      <protection hidden="1"/>
    </xf>
    <xf numFmtId="43" fontId="13" fillId="0" borderId="39" xfId="0" applyNumberFormat="1" applyFont="1" applyBorder="1" applyProtection="1">
      <protection hidden="1"/>
    </xf>
    <xf numFmtId="0" fontId="13" fillId="0" borderId="53" xfId="0" applyFont="1" applyBorder="1" applyAlignment="1" applyProtection="1">
      <alignment horizontal="left" vertical="top"/>
      <protection hidden="1"/>
    </xf>
    <xf numFmtId="166" fontId="13" fillId="0" borderId="34" xfId="0" applyNumberFormat="1" applyFont="1" applyBorder="1" applyAlignment="1" applyProtection="1">
      <alignment horizontal="left" vertical="top"/>
      <protection hidden="1"/>
    </xf>
    <xf numFmtId="0" fontId="13" fillId="0" borderId="12" xfId="0" applyFont="1" applyBorder="1" applyProtection="1">
      <protection hidden="1"/>
    </xf>
    <xf numFmtId="2" fontId="13" fillId="0" borderId="33" xfId="0" applyNumberFormat="1" applyFont="1" applyBorder="1" applyProtection="1"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1" fillId="0" borderId="1" xfId="0" applyFont="1" applyBorder="1" applyAlignment="1" applyProtection="1">
      <alignment vertical="top" wrapText="1"/>
      <protection hidden="1"/>
    </xf>
    <xf numFmtId="166" fontId="18" fillId="0" borderId="27" xfId="0" applyNumberFormat="1" applyFont="1" applyBorder="1" applyAlignment="1" applyProtection="1">
      <alignment vertical="top" wrapText="1"/>
      <protection hidden="1"/>
    </xf>
    <xf numFmtId="166" fontId="21" fillId="0" borderId="43" xfId="0" applyNumberFormat="1" applyFont="1" applyBorder="1" applyAlignment="1" applyProtection="1">
      <alignment vertical="top"/>
      <protection hidden="1"/>
    </xf>
    <xf numFmtId="0" fontId="13" fillId="0" borderId="34" xfId="0" applyFont="1" applyBorder="1" applyAlignment="1" applyProtection="1">
      <alignment vertical="top" wrapText="1"/>
      <protection hidden="1"/>
    </xf>
    <xf numFmtId="0" fontId="13" fillId="0" borderId="54" xfId="0" applyFont="1" applyBorder="1" applyProtection="1">
      <protection hidden="1"/>
    </xf>
    <xf numFmtId="166" fontId="25" fillId="5" borderId="53" xfId="0" applyNumberFormat="1" applyFont="1" applyFill="1" applyBorder="1" applyProtection="1">
      <protection hidden="1"/>
    </xf>
    <xf numFmtId="0" fontId="6" fillId="0" borderId="0" xfId="0" applyFont="1" applyProtection="1">
      <protection hidden="1"/>
    </xf>
    <xf numFmtId="173" fontId="13" fillId="0" borderId="0" xfId="5" applyNumberFormat="1" applyFont="1" applyFill="1" applyBorder="1" applyAlignment="1" applyProtection="1">
      <protection hidden="1"/>
    </xf>
    <xf numFmtId="168" fontId="13" fillId="0" borderId="0" xfId="5" applyNumberFormat="1" applyFont="1" applyFill="1" applyBorder="1" applyAlignment="1" applyProtection="1">
      <protection hidden="1"/>
    </xf>
    <xf numFmtId="2" fontId="13" fillId="0" borderId="0" xfId="0" applyNumberFormat="1" applyFont="1" applyAlignment="1" applyProtection="1">
      <alignment horizontal="center" vertical="center" wrapText="1"/>
      <protection hidden="1"/>
    </xf>
    <xf numFmtId="1" fontId="13" fillId="0" borderId="0" xfId="0" applyNumberFormat="1" applyFont="1" applyAlignment="1" applyProtection="1">
      <alignment horizontal="center" vertical="center" wrapText="1"/>
      <protection hidden="1"/>
    </xf>
    <xf numFmtId="2" fontId="6" fillId="0" borderId="0" xfId="0" applyNumberFormat="1" applyFont="1" applyAlignment="1" applyProtection="1">
      <alignment horizontal="center" vertical="center" wrapText="1"/>
      <protection hidden="1"/>
    </xf>
    <xf numFmtId="0" fontId="21" fillId="0" borderId="5" xfId="0" applyFont="1" applyBorder="1" applyAlignment="1" applyProtection="1">
      <alignment vertical="top" wrapText="1"/>
      <protection hidden="1"/>
    </xf>
    <xf numFmtId="0" fontId="18" fillId="0" borderId="3" xfId="0" applyFont="1" applyBorder="1" applyAlignment="1" applyProtection="1">
      <alignment vertical="top" wrapText="1"/>
      <protection hidden="1"/>
    </xf>
    <xf numFmtId="166" fontId="21" fillId="0" borderId="33" xfId="0" applyNumberFormat="1" applyFont="1" applyBorder="1" applyAlignment="1" applyProtection="1">
      <alignment vertical="top"/>
      <protection hidden="1"/>
    </xf>
    <xf numFmtId="0" fontId="14" fillId="0" borderId="34" xfId="0" applyFont="1" applyBorder="1" applyProtection="1">
      <protection hidden="1"/>
    </xf>
    <xf numFmtId="1" fontId="24" fillId="0" borderId="0" xfId="0" applyNumberFormat="1" applyFont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168" fontId="21" fillId="0" borderId="5" xfId="0" applyNumberFormat="1" applyFont="1" applyBorder="1" applyProtection="1">
      <protection hidden="1"/>
    </xf>
    <xf numFmtId="166" fontId="18" fillId="0" borderId="3" xfId="0" applyNumberFormat="1" applyFont="1" applyBorder="1" applyAlignment="1" applyProtection="1">
      <alignment wrapText="1"/>
      <protection hidden="1"/>
    </xf>
    <xf numFmtId="166" fontId="21" fillId="0" borderId="33" xfId="0" applyNumberFormat="1" applyFont="1" applyBorder="1" applyProtection="1">
      <protection hidden="1"/>
    </xf>
    <xf numFmtId="0" fontId="21" fillId="0" borderId="34" xfId="0" applyFont="1" applyBorder="1" applyAlignment="1" applyProtection="1">
      <alignment horizontal="center" vertical="top" wrapText="1"/>
      <protection hidden="1"/>
    </xf>
    <xf numFmtId="0" fontId="24" fillId="0" borderId="34" xfId="0" applyFont="1" applyBorder="1" applyAlignment="1" applyProtection="1">
      <alignment horizontal="right"/>
      <protection hidden="1"/>
    </xf>
    <xf numFmtId="169" fontId="6" fillId="0" borderId="0" xfId="5" applyFont="1" applyFill="1" applyBorder="1" applyAlignment="1" applyProtection="1">
      <alignment horizontal="center"/>
      <protection hidden="1"/>
    </xf>
    <xf numFmtId="1" fontId="6" fillId="0" borderId="0" xfId="0" applyNumberFormat="1" applyFont="1" applyAlignment="1" applyProtection="1">
      <alignment horizontal="center"/>
      <protection hidden="1"/>
    </xf>
    <xf numFmtId="169" fontId="13" fillId="0" borderId="0" xfId="5" applyFont="1" applyFill="1" applyBorder="1" applyAlignment="1" applyProtection="1">
      <protection hidden="1"/>
    </xf>
    <xf numFmtId="43" fontId="21" fillId="0" borderId="10" xfId="0" applyNumberFormat="1" applyFont="1" applyBorder="1" applyProtection="1">
      <protection hidden="1"/>
    </xf>
    <xf numFmtId="0" fontId="7" fillId="2" borderId="55" xfId="0" applyFont="1" applyFill="1" applyBorder="1" applyAlignment="1" applyProtection="1">
      <alignment horizontal="center" vertical="center"/>
      <protection hidden="1"/>
    </xf>
    <xf numFmtId="0" fontId="7" fillId="2" borderId="49" xfId="0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left" wrapText="1"/>
      <protection hidden="1"/>
    </xf>
    <xf numFmtId="168" fontId="6" fillId="0" borderId="0" xfId="5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vertical="top" wrapText="1"/>
      <protection hidden="1"/>
    </xf>
    <xf numFmtId="43" fontId="21" fillId="0" borderId="34" xfId="0" applyNumberFormat="1" applyFont="1" applyBorder="1" applyProtection="1">
      <protection hidden="1"/>
    </xf>
    <xf numFmtId="1" fontId="14" fillId="0" borderId="0" xfId="0" applyNumberFormat="1" applyFont="1" applyProtection="1">
      <protection hidden="1"/>
    </xf>
    <xf numFmtId="0" fontId="21" fillId="0" borderId="34" xfId="0" applyFont="1" applyBorder="1" applyProtection="1">
      <protection hidden="1"/>
    </xf>
    <xf numFmtId="0" fontId="24" fillId="0" borderId="0" xfId="0" applyFont="1" applyAlignment="1" applyProtection="1">
      <alignment horizontal="center"/>
      <protection hidden="1"/>
    </xf>
    <xf numFmtId="168" fontId="6" fillId="0" borderId="0" xfId="5" applyNumberFormat="1" applyFont="1" applyFill="1" applyBorder="1" applyAlignment="1" applyProtection="1">
      <protection hidden="1"/>
    </xf>
    <xf numFmtId="43" fontId="14" fillId="0" borderId="0" xfId="0" applyNumberFormat="1" applyFont="1" applyProtection="1">
      <protection hidden="1"/>
    </xf>
    <xf numFmtId="0" fontId="14" fillId="0" borderId="5" xfId="0" applyFont="1" applyBorder="1" applyProtection="1">
      <protection hidden="1"/>
    </xf>
    <xf numFmtId="166" fontId="14" fillId="0" borderId="0" xfId="0" applyNumberFormat="1" applyFont="1" applyProtection="1">
      <protection hidden="1"/>
    </xf>
    <xf numFmtId="0" fontId="2" fillId="2" borderId="38" xfId="0" applyFont="1" applyFill="1" applyBorder="1" applyProtection="1">
      <protection hidden="1"/>
    </xf>
    <xf numFmtId="0" fontId="21" fillId="2" borderId="53" xfId="0" applyFont="1" applyFill="1" applyBorder="1" applyProtection="1">
      <protection hidden="1"/>
    </xf>
    <xf numFmtId="9" fontId="24" fillId="0" borderId="0" xfId="3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2" fillId="5" borderId="36" xfId="0" applyFont="1" applyFill="1" applyBorder="1" applyProtection="1">
      <protection hidden="1"/>
    </xf>
    <xf numFmtId="166" fontId="7" fillId="5" borderId="0" xfId="0" applyNumberFormat="1" applyFont="1" applyFill="1" applyProtection="1">
      <protection hidden="1"/>
    </xf>
    <xf numFmtId="2" fontId="24" fillId="0" borderId="0" xfId="2" applyNumberFormat="1" applyFont="1" applyBorder="1" applyAlignment="1" applyProtection="1">
      <alignment horizontal="center"/>
      <protection hidden="1"/>
    </xf>
    <xf numFmtId="0" fontId="21" fillId="0" borderId="0" xfId="0" applyFont="1" applyAlignment="1" applyProtection="1">
      <alignment vertical="top"/>
      <protection hidden="1"/>
    </xf>
    <xf numFmtId="0" fontId="18" fillId="0" borderId="0" xfId="0" applyFont="1" applyAlignment="1" applyProtection="1">
      <alignment vertical="top"/>
      <protection hidden="1"/>
    </xf>
    <xf numFmtId="10" fontId="21" fillId="0" borderId="0" xfId="0" applyNumberFormat="1" applyFont="1" applyAlignment="1" applyProtection="1">
      <alignment vertical="top"/>
      <protection hidden="1"/>
    </xf>
    <xf numFmtId="0" fontId="21" fillId="0" borderId="0" xfId="0" applyFont="1" applyAlignment="1" applyProtection="1">
      <alignment vertical="top" wrapText="1"/>
      <protection hidden="1"/>
    </xf>
    <xf numFmtId="0" fontId="21" fillId="17" borderId="3" xfId="0" applyFont="1" applyFill="1" applyBorder="1" applyProtection="1">
      <protection hidden="1"/>
    </xf>
    <xf numFmtId="166" fontId="2" fillId="17" borderId="3" xfId="0" applyNumberFormat="1" applyFont="1" applyFill="1" applyBorder="1" applyProtection="1">
      <protection hidden="1"/>
    </xf>
    <xf numFmtId="168" fontId="21" fillId="0" borderId="0" xfId="0" applyNumberFormat="1" applyFont="1" applyAlignment="1" applyProtection="1">
      <alignment vertical="top"/>
      <protection hidden="1"/>
    </xf>
    <xf numFmtId="43" fontId="21" fillId="0" borderId="0" xfId="0" applyNumberFormat="1" applyFont="1" applyAlignment="1" applyProtection="1">
      <alignment vertical="top"/>
      <protection hidden="1"/>
    </xf>
    <xf numFmtId="166" fontId="21" fillId="0" borderId="0" xfId="0" applyNumberFormat="1" applyFont="1" applyAlignment="1" applyProtection="1">
      <alignment vertical="top"/>
      <protection hidden="1"/>
    </xf>
    <xf numFmtId="169" fontId="21" fillId="0" borderId="0" xfId="0" applyNumberFormat="1" applyFont="1" applyAlignment="1" applyProtection="1">
      <alignment vertical="top" wrapText="1"/>
      <protection hidden="1"/>
    </xf>
    <xf numFmtId="2" fontId="21" fillId="0" borderId="0" xfId="0" applyNumberFormat="1" applyFont="1" applyAlignment="1" applyProtection="1">
      <alignment vertical="top"/>
      <protection hidden="1"/>
    </xf>
    <xf numFmtId="0" fontId="14" fillId="0" borderId="3" xfId="0" applyFont="1" applyBorder="1" applyProtection="1">
      <protection hidden="1"/>
    </xf>
    <xf numFmtId="166" fontId="2" fillId="0" borderId="3" xfId="0" applyNumberFormat="1" applyFont="1" applyBorder="1" applyProtection="1">
      <protection hidden="1"/>
    </xf>
    <xf numFmtId="177" fontId="24" fillId="0" borderId="0" xfId="0" applyNumberFormat="1" applyFont="1" applyAlignment="1" applyProtection="1">
      <alignment horizontal="center"/>
      <protection hidden="1"/>
    </xf>
    <xf numFmtId="177" fontId="14" fillId="0" borderId="0" xfId="0" applyNumberFormat="1" applyFont="1" applyProtection="1">
      <protection hidden="1"/>
    </xf>
    <xf numFmtId="2" fontId="2" fillId="0" borderId="0" xfId="0" applyNumberFormat="1" applyFont="1" applyProtection="1">
      <protection hidden="1"/>
    </xf>
    <xf numFmtId="0" fontId="18" fillId="0" borderId="0" xfId="0" applyFont="1" applyProtection="1">
      <protection hidden="1"/>
    </xf>
    <xf numFmtId="168" fontId="21" fillId="0" borderId="0" xfId="0" applyNumberFormat="1" applyFont="1" applyProtection="1">
      <protection hidden="1"/>
    </xf>
    <xf numFmtId="166" fontId="21" fillId="0" borderId="0" xfId="0" applyNumberFormat="1" applyFont="1" applyProtection="1">
      <protection hidden="1"/>
    </xf>
    <xf numFmtId="166" fontId="26" fillId="0" borderId="0" xfId="0" applyNumberFormat="1" applyFont="1" applyProtection="1">
      <protection hidden="1"/>
    </xf>
    <xf numFmtId="43" fontId="21" fillId="0" borderId="0" xfId="0" applyNumberFormat="1" applyFont="1" applyProtection="1">
      <protection hidden="1"/>
    </xf>
    <xf numFmtId="0" fontId="21" fillId="13" borderId="3" xfId="0" applyFont="1" applyFill="1" applyBorder="1" applyProtection="1">
      <protection hidden="1"/>
    </xf>
    <xf numFmtId="2" fontId="7" fillId="18" borderId="3" xfId="0" applyNumberFormat="1" applyFont="1" applyFill="1" applyBorder="1" applyProtection="1">
      <protection hidden="1"/>
    </xf>
    <xf numFmtId="0" fontId="21" fillId="0" borderId="0" xfId="0" applyFont="1" applyAlignment="1" applyProtection="1">
      <alignment wrapText="1"/>
      <protection hidden="1"/>
    </xf>
    <xf numFmtId="2" fontId="24" fillId="0" borderId="0" xfId="0" applyNumberFormat="1" applyFont="1" applyAlignment="1" applyProtection="1">
      <alignment horizontal="center" wrapText="1"/>
      <protection hidden="1"/>
    </xf>
    <xf numFmtId="10" fontId="21" fillId="0" borderId="0" xfId="0" applyNumberFormat="1" applyFont="1" applyProtection="1">
      <protection hidden="1"/>
    </xf>
    <xf numFmtId="0" fontId="24" fillId="0" borderId="38" xfId="0" applyFont="1" applyBorder="1" applyAlignment="1" applyProtection="1">
      <alignment horizontal="right"/>
      <protection hidden="1"/>
    </xf>
    <xf numFmtId="2" fontId="24" fillId="0" borderId="0" xfId="0" applyNumberFormat="1" applyFont="1" applyAlignment="1" applyProtection="1">
      <alignment horizontal="center"/>
      <protection hidden="1"/>
    </xf>
    <xf numFmtId="166" fontId="6" fillId="0" borderId="0" xfId="0" applyNumberFormat="1" applyFont="1" applyProtection="1">
      <protection hidden="1"/>
    </xf>
    <xf numFmtId="0" fontId="27" fillId="0" borderId="0" xfId="0" applyFont="1" applyProtection="1">
      <protection hidden="1"/>
    </xf>
    <xf numFmtId="166" fontId="27" fillId="0" borderId="0" xfId="0" applyNumberFormat="1" applyFont="1" applyProtection="1">
      <protection hidden="1"/>
    </xf>
    <xf numFmtId="169" fontId="14" fillId="0" borderId="3" xfId="5" applyFont="1" applyFill="1" applyBorder="1" applyAlignment="1" applyProtection="1">
      <alignment vertical="top"/>
      <protection hidden="1"/>
    </xf>
    <xf numFmtId="165" fontId="14" fillId="0" borderId="3" xfId="5" applyNumberFormat="1" applyFont="1" applyFill="1" applyBorder="1" applyAlignment="1" applyProtection="1">
      <alignment horizontal="center" vertical="top"/>
      <protection hidden="1"/>
    </xf>
    <xf numFmtId="165" fontId="14" fillId="0" borderId="3" xfId="5" applyNumberFormat="1" applyFont="1" applyFill="1" applyBorder="1" applyAlignment="1" applyProtection="1">
      <alignment vertical="top"/>
      <protection hidden="1"/>
    </xf>
    <xf numFmtId="168" fontId="0" fillId="0" borderId="36" xfId="0" applyNumberFormat="1" applyBorder="1"/>
    <xf numFmtId="0" fontId="0" fillId="5" borderId="3" xfId="0" applyFill="1" applyBorder="1"/>
    <xf numFmtId="0" fontId="0" fillId="5" borderId="3" xfId="0" applyFill="1" applyBorder="1" applyAlignment="1">
      <alignment wrapText="1"/>
    </xf>
    <xf numFmtId="166" fontId="0" fillId="0" borderId="3" xfId="0" applyNumberFormat="1" applyBorder="1" applyAlignment="1">
      <alignment horizontal="right" vertical="center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2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4" fillId="7" borderId="0" xfId="0" applyFont="1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0" fillId="0" borderId="3" xfId="0" applyBorder="1"/>
    <xf numFmtId="43" fontId="3" fillId="4" borderId="0" xfId="0" applyNumberFormat="1" applyFont="1" applyFill="1" applyAlignment="1">
      <alignment wrapText="1"/>
    </xf>
    <xf numFmtId="168" fontId="9" fillId="4" borderId="0" xfId="0" applyNumberFormat="1" applyFont="1" applyFill="1"/>
    <xf numFmtId="165" fontId="19" fillId="5" borderId="3" xfId="3" applyNumberFormat="1" applyFont="1" applyFill="1" applyBorder="1" applyAlignment="1" applyProtection="1">
      <alignment horizontal="left" vertical="top" wrapText="1"/>
      <protection hidden="1"/>
    </xf>
    <xf numFmtId="169" fontId="15" fillId="5" borderId="3" xfId="3" applyNumberFormat="1" applyFont="1" applyFill="1" applyBorder="1" applyAlignment="1" applyProtection="1">
      <alignment horizontal="left" vertical="top" wrapText="1"/>
      <protection hidden="1"/>
    </xf>
    <xf numFmtId="0" fontId="2" fillId="19" borderId="3" xfId="0" applyFont="1" applyFill="1" applyBorder="1"/>
    <xf numFmtId="0" fontId="2" fillId="0" borderId="3" xfId="0" applyFont="1" applyBorder="1"/>
    <xf numFmtId="17" fontId="2" fillId="0" borderId="3" xfId="0" applyNumberFormat="1" applyFont="1" applyBorder="1"/>
    <xf numFmtId="178" fontId="13" fillId="0" borderId="33" xfId="3" applyNumberFormat="1" applyFont="1" applyFill="1" applyBorder="1" applyAlignment="1" applyProtection="1">
      <alignment vertical="top"/>
      <protection hidden="1"/>
    </xf>
    <xf numFmtId="3" fontId="13" fillId="0" borderId="5" xfId="0" applyNumberFormat="1" applyFont="1" applyBorder="1" applyAlignment="1" applyProtection="1">
      <alignment horizontal="center" vertical="top"/>
      <protection hidden="1"/>
    </xf>
    <xf numFmtId="0" fontId="6" fillId="0" borderId="3" xfId="0" applyFont="1" applyBorder="1" applyAlignment="1" applyProtection="1">
      <alignment horizontal="left" vertical="center"/>
      <protection hidden="1"/>
    </xf>
    <xf numFmtId="17" fontId="11" fillId="5" borderId="22" xfId="0" applyNumberFormat="1" applyFont="1" applyFill="1" applyBorder="1" applyAlignment="1" applyProtection="1">
      <alignment horizontal="center" vertical="top"/>
      <protection hidden="1"/>
    </xf>
    <xf numFmtId="17" fontId="11" fillId="5" borderId="23" xfId="0" applyNumberFormat="1" applyFont="1" applyFill="1" applyBorder="1" applyAlignment="1" applyProtection="1">
      <alignment horizontal="center" vertical="top"/>
      <protection hidden="1"/>
    </xf>
    <xf numFmtId="17" fontId="11" fillId="5" borderId="24" xfId="0" applyNumberFormat="1" applyFont="1" applyFill="1" applyBorder="1" applyAlignment="1" applyProtection="1">
      <alignment horizontal="center" vertical="top"/>
      <protection hidden="1"/>
    </xf>
    <xf numFmtId="0" fontId="3" fillId="12" borderId="23" xfId="0" applyFont="1" applyFill="1" applyBorder="1" applyAlignment="1" applyProtection="1">
      <alignment horizontal="center" vertical="top"/>
      <protection hidden="1"/>
    </xf>
    <xf numFmtId="0" fontId="3" fillId="12" borderId="25" xfId="0" applyFont="1" applyFill="1" applyBorder="1" applyAlignment="1" applyProtection="1">
      <alignment horizontal="center" vertical="top"/>
      <protection hidden="1"/>
    </xf>
    <xf numFmtId="0" fontId="6" fillId="0" borderId="22" xfId="0" applyFont="1" applyBorder="1" applyAlignment="1" applyProtection="1">
      <alignment horizontal="center" vertical="top"/>
      <protection hidden="1"/>
    </xf>
    <xf numFmtId="0" fontId="6" fillId="0" borderId="23" xfId="0" applyFont="1" applyBorder="1" applyAlignment="1" applyProtection="1">
      <alignment horizontal="center" vertical="top"/>
      <protection hidden="1"/>
    </xf>
    <xf numFmtId="0" fontId="6" fillId="0" borderId="24" xfId="0" applyFont="1" applyBorder="1" applyAlignment="1" applyProtection="1">
      <alignment horizontal="center" vertical="top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left" vertical="center"/>
      <protection hidden="1"/>
    </xf>
    <xf numFmtId="0" fontId="6" fillId="5" borderId="45" xfId="0" applyFont="1" applyFill="1" applyBorder="1" applyAlignment="1" applyProtection="1">
      <alignment horizontal="center" vertical="center"/>
      <protection hidden="1"/>
    </xf>
    <xf numFmtId="0" fontId="6" fillId="5" borderId="46" xfId="0" applyFont="1" applyFill="1" applyBorder="1" applyAlignment="1" applyProtection="1">
      <alignment horizontal="center" vertical="center"/>
      <protection hidden="1"/>
    </xf>
    <xf numFmtId="0" fontId="6" fillId="0" borderId="36" xfId="0" applyFont="1" applyBorder="1" applyAlignment="1" applyProtection="1">
      <alignment horizontal="left" vertical="center"/>
      <protection hidden="1"/>
    </xf>
    <xf numFmtId="0" fontId="11" fillId="0" borderId="9" xfId="0" applyFont="1" applyBorder="1" applyAlignment="1" applyProtection="1">
      <alignment horizontal="center" vertical="center"/>
      <protection hidden="1"/>
    </xf>
    <xf numFmtId="0" fontId="11" fillId="0" borderId="37" xfId="0" applyFont="1" applyBorder="1" applyAlignment="1" applyProtection="1">
      <alignment horizontal="center" vertical="center"/>
      <protection hidden="1"/>
    </xf>
    <xf numFmtId="0" fontId="6" fillId="5" borderId="22" xfId="0" applyFont="1" applyFill="1" applyBorder="1" applyAlignment="1" applyProtection="1">
      <alignment horizontal="center" vertical="center"/>
      <protection hidden="1"/>
    </xf>
    <xf numFmtId="0" fontId="6" fillId="5" borderId="23" xfId="0" applyFont="1" applyFill="1" applyBorder="1" applyAlignment="1" applyProtection="1">
      <alignment horizontal="center" vertical="center"/>
      <protection hidden="1"/>
    </xf>
    <xf numFmtId="0" fontId="6" fillId="0" borderId="19" xfId="0" applyFont="1" applyBorder="1" applyAlignment="1" applyProtection="1">
      <alignment horizontal="center"/>
      <protection hidden="1"/>
    </xf>
    <xf numFmtId="0" fontId="6" fillId="0" borderId="23" xfId="0" applyFont="1" applyBorder="1" applyAlignment="1" applyProtection="1">
      <alignment horizontal="center"/>
      <protection hidden="1"/>
    </xf>
    <xf numFmtId="0" fontId="23" fillId="16" borderId="2" xfId="0" applyFont="1" applyFill="1" applyBorder="1" applyAlignment="1" applyProtection="1">
      <alignment horizontal="left"/>
      <protection hidden="1"/>
    </xf>
    <xf numFmtId="0" fontId="23" fillId="16" borderId="31" xfId="0" applyFont="1" applyFill="1" applyBorder="1" applyAlignment="1" applyProtection="1">
      <alignment horizontal="left"/>
      <protection hidden="1"/>
    </xf>
    <xf numFmtId="0" fontId="23" fillId="16" borderId="14" xfId="0" applyFont="1" applyFill="1" applyBorder="1" applyAlignment="1" applyProtection="1">
      <alignment horizontal="center"/>
      <protection hidden="1"/>
    </xf>
    <xf numFmtId="0" fontId="23" fillId="16" borderId="47" xfId="0" applyFont="1" applyFill="1" applyBorder="1" applyAlignment="1" applyProtection="1">
      <alignment horizontal="center"/>
      <protection hidden="1"/>
    </xf>
    <xf numFmtId="0" fontId="23" fillId="0" borderId="6" xfId="0" applyFont="1" applyBorder="1" applyAlignment="1" applyProtection="1">
      <alignment horizontal="left"/>
      <protection hidden="1"/>
    </xf>
    <xf numFmtId="0" fontId="23" fillId="0" borderId="34" xfId="0" applyFont="1" applyBorder="1" applyAlignment="1" applyProtection="1">
      <alignment horizontal="left"/>
      <protection hidden="1"/>
    </xf>
    <xf numFmtId="0" fontId="23" fillId="0" borderId="6" xfId="0" applyFont="1" applyBorder="1" applyAlignment="1" applyProtection="1">
      <alignment horizontal="center"/>
      <protection hidden="1"/>
    </xf>
    <xf numFmtId="0" fontId="23" fillId="0" borderId="50" xfId="0" applyFont="1" applyBorder="1" applyAlignment="1" applyProtection="1">
      <alignment horizontal="center"/>
      <protection hidden="1"/>
    </xf>
    <xf numFmtId="0" fontId="24" fillId="0" borderId="6" xfId="0" applyFont="1" applyBorder="1" applyAlignment="1" applyProtection="1">
      <alignment horizontal="left"/>
      <protection hidden="1"/>
    </xf>
    <xf numFmtId="0" fontId="24" fillId="0" borderId="34" xfId="0" applyFont="1" applyBorder="1" applyAlignment="1" applyProtection="1">
      <alignment horizontal="left"/>
      <protection hidden="1"/>
    </xf>
    <xf numFmtId="2" fontId="24" fillId="5" borderId="6" xfId="3" applyNumberFormat="1" applyFont="1" applyFill="1" applyBorder="1" applyAlignment="1" applyProtection="1">
      <alignment horizontal="center"/>
      <protection hidden="1"/>
    </xf>
    <xf numFmtId="2" fontId="24" fillId="5" borderId="50" xfId="3" applyNumberFormat="1" applyFont="1" applyFill="1" applyBorder="1" applyAlignment="1" applyProtection="1">
      <alignment horizontal="center"/>
      <protection hidden="1"/>
    </xf>
    <xf numFmtId="166" fontId="21" fillId="3" borderId="39" xfId="0" applyNumberFormat="1" applyFont="1" applyFill="1" applyBorder="1" applyAlignment="1" applyProtection="1">
      <alignment horizontal="center"/>
      <protection hidden="1"/>
    </xf>
    <xf numFmtId="0" fontId="21" fillId="3" borderId="53" xfId="0" applyFont="1" applyFill="1" applyBorder="1" applyAlignment="1" applyProtection="1">
      <alignment horizontal="center"/>
      <protection hidden="1"/>
    </xf>
    <xf numFmtId="0" fontId="24" fillId="0" borderId="6" xfId="0" applyFont="1" applyBorder="1" applyAlignment="1" applyProtection="1">
      <alignment horizontal="center"/>
      <protection hidden="1"/>
    </xf>
    <xf numFmtId="0" fontId="24" fillId="0" borderId="34" xfId="0" applyFont="1" applyBorder="1" applyAlignment="1" applyProtection="1">
      <alignment horizontal="center"/>
      <protection hidden="1"/>
    </xf>
    <xf numFmtId="2" fontId="24" fillId="0" borderId="6" xfId="0" applyNumberFormat="1" applyFont="1" applyBorder="1" applyAlignment="1" applyProtection="1">
      <alignment horizontal="center"/>
      <protection hidden="1"/>
    </xf>
    <xf numFmtId="2" fontId="24" fillId="0" borderId="50" xfId="0" applyNumberFormat="1" applyFont="1" applyBorder="1" applyAlignment="1" applyProtection="1">
      <alignment horizontal="center"/>
      <protection hidden="1"/>
    </xf>
    <xf numFmtId="0" fontId="24" fillId="0" borderId="6" xfId="3" applyNumberFormat="1" applyFont="1" applyBorder="1" applyAlignment="1" applyProtection="1">
      <alignment horizontal="center"/>
      <protection hidden="1"/>
    </xf>
    <xf numFmtId="0" fontId="24" fillId="0" borderId="50" xfId="3" applyNumberFormat="1" applyFont="1" applyBorder="1" applyAlignment="1" applyProtection="1">
      <alignment horizontal="center"/>
      <protection hidden="1"/>
    </xf>
    <xf numFmtId="0" fontId="7" fillId="2" borderId="31" xfId="0" applyFont="1" applyFill="1" applyBorder="1" applyAlignment="1" applyProtection="1">
      <alignment horizontal="center" vertical="center"/>
      <protection hidden="1"/>
    </xf>
    <xf numFmtId="0" fontId="7" fillId="2" borderId="43" xfId="0" applyFont="1" applyFill="1" applyBorder="1" applyAlignment="1" applyProtection="1">
      <alignment horizontal="center" vertical="center"/>
      <protection hidden="1"/>
    </xf>
    <xf numFmtId="1" fontId="24" fillId="0" borderId="6" xfId="0" applyNumberFormat="1" applyFont="1" applyBorder="1" applyAlignment="1" applyProtection="1">
      <alignment horizontal="center"/>
      <protection hidden="1"/>
    </xf>
    <xf numFmtId="1" fontId="24" fillId="0" borderId="50" xfId="0" applyNumberFormat="1" applyFont="1" applyBorder="1" applyAlignment="1" applyProtection="1">
      <alignment horizontal="center"/>
      <protection hidden="1"/>
    </xf>
    <xf numFmtId="1" fontId="24" fillId="13" borderId="6" xfId="0" applyNumberFormat="1" applyFont="1" applyFill="1" applyBorder="1" applyAlignment="1" applyProtection="1">
      <alignment horizontal="center"/>
      <protection hidden="1"/>
    </xf>
    <xf numFmtId="1" fontId="24" fillId="13" borderId="50" xfId="0" applyNumberFormat="1" applyFont="1" applyFill="1" applyBorder="1" applyAlignment="1" applyProtection="1">
      <alignment horizontal="center"/>
      <protection hidden="1"/>
    </xf>
    <xf numFmtId="0" fontId="24" fillId="0" borderId="50" xfId="0" applyFont="1" applyBorder="1" applyAlignment="1" applyProtection="1">
      <alignment horizontal="center"/>
      <protection hidden="1"/>
    </xf>
    <xf numFmtId="173" fontId="23" fillId="0" borderId="6" xfId="0" applyNumberFormat="1" applyFont="1" applyBorder="1" applyAlignment="1" applyProtection="1">
      <alignment vertical="center"/>
      <protection hidden="1"/>
    </xf>
    <xf numFmtId="173" fontId="23" fillId="0" borderId="50" xfId="0" applyNumberFormat="1" applyFont="1" applyBorder="1" applyAlignment="1" applyProtection="1">
      <alignment vertical="center"/>
      <protection hidden="1"/>
    </xf>
    <xf numFmtId="9" fontId="24" fillId="0" borderId="6" xfId="3" applyFont="1" applyBorder="1" applyAlignment="1" applyProtection="1">
      <alignment horizontal="center"/>
      <protection hidden="1"/>
    </xf>
    <xf numFmtId="9" fontId="24" fillId="0" borderId="50" xfId="3" applyFont="1" applyBorder="1" applyAlignment="1" applyProtection="1">
      <alignment horizontal="center"/>
      <protection hidden="1"/>
    </xf>
    <xf numFmtId="2" fontId="24" fillId="0" borderId="6" xfId="2" applyNumberFormat="1" applyFont="1" applyBorder="1" applyAlignment="1" applyProtection="1">
      <alignment horizontal="center"/>
      <protection hidden="1"/>
    </xf>
    <xf numFmtId="2" fontId="24" fillId="0" borderId="50" xfId="2" applyNumberFormat="1" applyFont="1" applyBorder="1" applyAlignment="1" applyProtection="1">
      <alignment horizontal="center"/>
      <protection hidden="1"/>
    </xf>
    <xf numFmtId="0" fontId="21" fillId="0" borderId="0" xfId="0" applyFont="1" applyAlignment="1" applyProtection="1">
      <alignment horizontal="center" wrapText="1"/>
      <protection hidden="1"/>
    </xf>
    <xf numFmtId="177" fontId="24" fillId="0" borderId="6" xfId="0" applyNumberFormat="1" applyFont="1" applyBorder="1" applyAlignment="1" applyProtection="1">
      <alignment horizontal="center"/>
      <protection hidden="1"/>
    </xf>
    <xf numFmtId="177" fontId="24" fillId="0" borderId="50" xfId="0" applyNumberFormat="1" applyFont="1" applyBorder="1" applyAlignment="1" applyProtection="1">
      <alignment horizontal="center"/>
      <protection hidden="1"/>
    </xf>
    <xf numFmtId="2" fontId="24" fillId="18" borderId="6" xfId="0" applyNumberFormat="1" applyFont="1" applyFill="1" applyBorder="1" applyAlignment="1" applyProtection="1">
      <alignment horizontal="center" wrapText="1"/>
      <protection hidden="1"/>
    </xf>
    <xf numFmtId="2" fontId="24" fillId="18" borderId="50" xfId="0" applyNumberFormat="1" applyFont="1" applyFill="1" applyBorder="1" applyAlignment="1" applyProtection="1">
      <alignment horizontal="center" wrapText="1"/>
      <protection hidden="1"/>
    </xf>
    <xf numFmtId="0" fontId="14" fillId="0" borderId="3" xfId="0" applyFont="1" applyBorder="1" applyAlignment="1" applyProtection="1">
      <alignment horizontal="left"/>
      <protection hidden="1"/>
    </xf>
    <xf numFmtId="166" fontId="4" fillId="0" borderId="6" xfId="0" applyNumberFormat="1" applyFont="1" applyBorder="1" applyAlignment="1" applyProtection="1">
      <alignment horizontal="center"/>
      <protection hidden="1"/>
    </xf>
    <xf numFmtId="166" fontId="4" fillId="0" borderId="34" xfId="0" applyNumberFormat="1" applyFont="1" applyBorder="1" applyAlignment="1" applyProtection="1">
      <alignment horizontal="center"/>
      <protection hidden="1"/>
    </xf>
    <xf numFmtId="0" fontId="24" fillId="0" borderId="6" xfId="0" applyFont="1" applyBorder="1" applyAlignment="1" applyProtection="1">
      <alignment horizontal="left" wrapText="1"/>
      <protection hidden="1"/>
    </xf>
    <xf numFmtId="0" fontId="24" fillId="0" borderId="34" xfId="0" applyFont="1" applyBorder="1" applyAlignment="1" applyProtection="1">
      <alignment horizontal="left" wrapText="1"/>
      <protection hidden="1"/>
    </xf>
    <xf numFmtId="0" fontId="2" fillId="2" borderId="0" xfId="0" applyFont="1" applyFill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top" wrapText="1"/>
    </xf>
    <xf numFmtId="0" fontId="4" fillId="7" borderId="13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2" fillId="19" borderId="6" xfId="0" applyFont="1" applyFill="1" applyBorder="1" applyAlignment="1">
      <alignment horizontal="center"/>
    </xf>
    <xf numFmtId="0" fontId="2" fillId="19" borderId="12" xfId="0" applyFont="1" applyFill="1" applyBorder="1" applyAlignment="1">
      <alignment horizontal="center"/>
    </xf>
    <xf numFmtId="0" fontId="2" fillId="19" borderId="34" xfId="0" applyFont="1" applyFill="1" applyBorder="1" applyAlignment="1">
      <alignment horizontal="center"/>
    </xf>
  </cellXfs>
  <cellStyles count="7">
    <cellStyle name="Comma" xfId="1" builtinId="3"/>
    <cellStyle name="Comma 2" xfId="5" xr:uid="{CA60FEDA-22D5-4007-9EE5-F66BC660417B}"/>
    <cellStyle name="Comma 3" xfId="4" xr:uid="{B9EE1576-C855-4E7C-8988-DB0D138F9B9D}"/>
    <cellStyle name="Currency" xfId="2" builtinId="4"/>
    <cellStyle name="Hyperlink" xfId="6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2399.MARUTIGROUP\AppData\Local\Microsoft\Windows\INetCache\Content.Outlook\YWWD7M2O\Daily%20work%20sheet%20September%20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2348\AppData\Local\Microsoft\Windows\INetCache\Content.Outlook\9KXAPG5D\Daily%20Worksheet%20Oct%20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ieving"/>
      <sheetName val="issue"/>
      <sheetName val="slag crusher "/>
      <sheetName val="monthly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26">
          <cell r="L26">
            <v>389.84742987042671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ieving"/>
      <sheetName val="Issue "/>
      <sheetName val="Slag Crusher "/>
      <sheetName val="Monthly"/>
    </sheetNames>
    <sheetDataSet>
      <sheetData sheetId="0" refreshError="1">
        <row r="3">
          <cell r="AC3">
            <v>220</v>
          </cell>
        </row>
        <row r="34">
          <cell r="J34">
            <v>62.809999999999995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IEPL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A102-7D9E-457B-86D9-6188218878DF}">
  <dimension ref="A1:AJ41"/>
  <sheetViews>
    <sheetView topLeftCell="AC1" zoomScale="150" zoomScaleNormal="150" workbookViewId="0">
      <pane ySplit="2" topLeftCell="A30" activePane="bottomLeft" state="frozen"/>
      <selection pane="bottomLeft" activeCell="AK18" sqref="AK18"/>
    </sheetView>
  </sheetViews>
  <sheetFormatPr defaultColWidth="9.109375" defaultRowHeight="14.4" x14ac:dyDescent="0.3"/>
  <cols>
    <col min="1" max="1" width="7.33203125" bestFit="1" customWidth="1"/>
    <col min="2" max="2" width="11.5546875" bestFit="1" customWidth="1"/>
    <col min="3" max="3" width="12.88671875" bestFit="1" customWidth="1"/>
    <col min="4" max="5" width="9.44140625" bestFit="1" customWidth="1"/>
    <col min="6" max="6" width="11" bestFit="1" customWidth="1"/>
    <col min="7" max="7" width="10.33203125" bestFit="1" customWidth="1"/>
    <col min="8" max="8" width="10.33203125" customWidth="1"/>
    <col min="9" max="10" width="9.44140625" bestFit="1" customWidth="1"/>
    <col min="11" max="11" width="16.109375" customWidth="1"/>
    <col min="12" max="12" width="9.44140625" bestFit="1" customWidth="1"/>
    <col min="13" max="13" width="9.44140625" customWidth="1"/>
    <col min="14" max="14" width="9.44140625" bestFit="1" customWidth="1"/>
    <col min="15" max="15" width="9.6640625" customWidth="1"/>
    <col min="16" max="16" width="9.44140625" bestFit="1" customWidth="1"/>
    <col min="17" max="17" width="9.44140625" customWidth="1"/>
    <col min="18" max="18" width="11.6640625" customWidth="1"/>
    <col min="19" max="19" width="9.6640625" customWidth="1"/>
    <col min="20" max="20" width="8.88671875" customWidth="1"/>
    <col min="21" max="21" width="3.109375" hidden="1" customWidth="1"/>
    <col min="22" max="22" width="8.6640625" customWidth="1"/>
    <col min="23" max="24" width="9.44140625" bestFit="1" customWidth="1"/>
    <col min="25" max="25" width="9.44140625" customWidth="1"/>
    <col min="26" max="26" width="9.44140625" bestFit="1" customWidth="1"/>
    <col min="27" max="27" width="4.33203125" hidden="1" customWidth="1"/>
    <col min="28" max="29" width="11.6640625" customWidth="1"/>
    <col min="30" max="30" width="12.88671875" bestFit="1" customWidth="1"/>
    <col min="31" max="31" width="13.44140625" customWidth="1"/>
    <col min="32" max="32" width="11.44140625" bestFit="1" customWidth="1"/>
    <col min="33" max="33" width="12.109375" bestFit="1" customWidth="1"/>
    <col min="34" max="34" width="12.5546875" customWidth="1"/>
    <col min="35" max="35" width="11.6640625" bestFit="1" customWidth="1"/>
    <col min="36" max="36" width="35" bestFit="1" customWidth="1"/>
  </cols>
  <sheetData>
    <row r="1" spans="1:36" ht="15.6" customHeight="1" x14ac:dyDescent="0.3">
      <c r="A1" s="403" t="s">
        <v>0</v>
      </c>
      <c r="B1" s="401" t="s">
        <v>1</v>
      </c>
      <c r="C1" s="401" t="s">
        <v>2</v>
      </c>
      <c r="D1" s="401" t="s">
        <v>3</v>
      </c>
      <c r="E1" s="401" t="s">
        <v>4</v>
      </c>
      <c r="F1" s="403" t="s">
        <v>5</v>
      </c>
      <c r="G1" s="403" t="s">
        <v>6</v>
      </c>
      <c r="H1" s="401" t="s">
        <v>7</v>
      </c>
      <c r="I1" s="401" t="s">
        <v>8</v>
      </c>
      <c r="J1" s="401" t="s">
        <v>9</v>
      </c>
      <c r="K1" s="401" t="s">
        <v>10</v>
      </c>
      <c r="L1" s="401" t="s">
        <v>11</v>
      </c>
      <c r="M1" s="401" t="s">
        <v>12</v>
      </c>
      <c r="N1" s="401" t="s">
        <v>13</v>
      </c>
      <c r="O1" s="401" t="s">
        <v>14</v>
      </c>
      <c r="P1" s="401" t="s">
        <v>15</v>
      </c>
      <c r="Q1" s="322" t="s">
        <v>16</v>
      </c>
      <c r="R1" s="401" t="s">
        <v>17</v>
      </c>
      <c r="S1" s="401" t="s">
        <v>18</v>
      </c>
      <c r="T1" s="401" t="s">
        <v>19</v>
      </c>
      <c r="V1" s="401" t="s">
        <v>20</v>
      </c>
      <c r="W1" s="401" t="s">
        <v>21</v>
      </c>
      <c r="X1" s="401" t="s">
        <v>22</v>
      </c>
      <c r="Y1" s="401" t="s">
        <v>23</v>
      </c>
      <c r="Z1" s="401" t="s">
        <v>24</v>
      </c>
      <c r="AB1" s="405" t="s">
        <v>25</v>
      </c>
      <c r="AC1" s="406"/>
      <c r="AD1" s="1" t="s">
        <v>26</v>
      </c>
      <c r="AE1" s="407" t="s">
        <v>27</v>
      </c>
      <c r="AF1" s="407"/>
      <c r="AG1" s="408" t="s">
        <v>28</v>
      </c>
      <c r="AH1" s="408" t="s">
        <v>29</v>
      </c>
      <c r="AI1" s="408" t="s">
        <v>30</v>
      </c>
    </row>
    <row r="2" spans="1:36" ht="57.6" x14ac:dyDescent="0.3">
      <c r="A2" s="404"/>
      <c r="B2" s="402"/>
      <c r="C2" s="402"/>
      <c r="D2" s="402"/>
      <c r="E2" s="402"/>
      <c r="F2" s="404"/>
      <c r="G2" s="404"/>
      <c r="H2" s="402"/>
      <c r="I2" s="402"/>
      <c r="J2" s="402"/>
      <c r="K2" s="402"/>
      <c r="L2" s="402"/>
      <c r="M2" s="402"/>
      <c r="N2" s="402"/>
      <c r="O2" s="402"/>
      <c r="P2" s="402"/>
      <c r="Q2" s="323" t="s">
        <v>31</v>
      </c>
      <c r="R2" s="402"/>
      <c r="S2" s="402"/>
      <c r="T2" s="402"/>
      <c r="V2" s="402"/>
      <c r="W2" s="402"/>
      <c r="X2" s="402"/>
      <c r="Y2" s="402"/>
      <c r="Z2" s="402"/>
      <c r="AB2" s="317" t="s">
        <v>32</v>
      </c>
      <c r="AC2" s="318" t="s">
        <v>33</v>
      </c>
      <c r="AD2" s="319" t="s">
        <v>34</v>
      </c>
      <c r="AE2" s="320" t="s">
        <v>35</v>
      </c>
      <c r="AF2" s="321" t="s">
        <v>36</v>
      </c>
      <c r="AG2" s="408"/>
      <c r="AH2" s="408"/>
      <c r="AI2" s="408"/>
    </row>
    <row r="3" spans="1:36" x14ac:dyDescent="0.3">
      <c r="A3" s="2">
        <v>46296</v>
      </c>
      <c r="B3" s="3">
        <v>0</v>
      </c>
      <c r="C3" s="3">
        <v>0</v>
      </c>
      <c r="D3" s="3">
        <v>0</v>
      </c>
      <c r="E3" s="3">
        <v>0</v>
      </c>
      <c r="F3" s="3">
        <v>140.78</v>
      </c>
      <c r="G3" s="3">
        <v>246.45</v>
      </c>
      <c r="H3" s="3">
        <v>12.27</v>
      </c>
      <c r="I3" s="3">
        <v>0</v>
      </c>
      <c r="J3" s="3">
        <v>0.7</v>
      </c>
      <c r="K3" s="3">
        <v>0</v>
      </c>
      <c r="L3" s="3">
        <v>0</v>
      </c>
      <c r="M3" s="3">
        <v>0</v>
      </c>
      <c r="N3" s="3">
        <v>0</v>
      </c>
      <c r="O3" s="3">
        <v>33.409999999999997</v>
      </c>
      <c r="P3" s="3"/>
      <c r="Q3" s="4">
        <f t="shared" ref="Q3:Q32" si="0">SUM(B3:P3)</f>
        <v>433.61</v>
      </c>
      <c r="R3" s="3">
        <v>5.37</v>
      </c>
      <c r="S3" s="3">
        <v>0</v>
      </c>
      <c r="T3" s="3">
        <v>0</v>
      </c>
      <c r="U3" s="3"/>
      <c r="V3" s="3">
        <v>0</v>
      </c>
      <c r="W3" s="3">
        <v>0</v>
      </c>
      <c r="X3" s="3">
        <v>79.05</v>
      </c>
      <c r="Y3" s="3">
        <v>0</v>
      </c>
      <c r="Z3" s="3">
        <v>0</v>
      </c>
      <c r="AB3" s="5">
        <v>0.91666666666666663</v>
      </c>
      <c r="AC3" s="6">
        <v>220</v>
      </c>
      <c r="AD3" s="3">
        <v>13</v>
      </c>
      <c r="AE3" s="3">
        <v>0</v>
      </c>
      <c r="AF3" s="3">
        <v>4800</v>
      </c>
      <c r="AG3" s="3">
        <f t="shared" ref="AG3:AG33" si="1">(V3*B3)+(W3*C3)</f>
        <v>0</v>
      </c>
      <c r="AH3" s="3">
        <f t="shared" ref="AH3:AH33" si="2">F3*X3</f>
        <v>11128.659</v>
      </c>
      <c r="AI3" s="3">
        <f t="shared" ref="AI3:AI33" si="3">(D3*Y3)+(E3*Z3)</f>
        <v>0</v>
      </c>
      <c r="AJ3" s="327"/>
    </row>
    <row r="4" spans="1:36" x14ac:dyDescent="0.3">
      <c r="A4" s="2">
        <f>+A3+1</f>
        <v>46297</v>
      </c>
      <c r="B4" s="3">
        <v>0</v>
      </c>
      <c r="C4" s="3">
        <v>0</v>
      </c>
      <c r="D4" s="3">
        <v>44.86</v>
      </c>
      <c r="E4" s="3">
        <v>0</v>
      </c>
      <c r="F4" s="3">
        <v>115.43</v>
      </c>
      <c r="G4" s="3">
        <v>182.31</v>
      </c>
      <c r="H4" s="8">
        <v>12.6</v>
      </c>
      <c r="I4" s="3">
        <v>0</v>
      </c>
      <c r="J4" s="3">
        <v>3.9</v>
      </c>
      <c r="K4" s="3">
        <v>0</v>
      </c>
      <c r="L4" s="3">
        <v>0</v>
      </c>
      <c r="M4" s="3">
        <v>0</v>
      </c>
      <c r="N4" s="3">
        <v>1.24</v>
      </c>
      <c r="O4" s="3">
        <v>0</v>
      </c>
      <c r="P4" s="7">
        <v>0</v>
      </c>
      <c r="Q4" s="4">
        <f t="shared" si="0"/>
        <v>360.34000000000003</v>
      </c>
      <c r="R4" s="3">
        <v>3.07</v>
      </c>
      <c r="S4" s="3">
        <v>9.5299999999999994</v>
      </c>
      <c r="T4" s="3">
        <v>0</v>
      </c>
      <c r="V4" s="3">
        <v>0</v>
      </c>
      <c r="W4" s="3">
        <v>0</v>
      </c>
      <c r="X4" s="3">
        <v>79.260000000000005</v>
      </c>
      <c r="Y4" s="3">
        <v>77.06</v>
      </c>
      <c r="Z4" s="3">
        <v>0</v>
      </c>
      <c r="AB4" s="5">
        <v>0.75</v>
      </c>
      <c r="AC4" s="6">
        <v>180</v>
      </c>
      <c r="AD4" s="3">
        <v>13</v>
      </c>
      <c r="AE4" s="3">
        <v>0</v>
      </c>
      <c r="AF4" s="3">
        <v>5000</v>
      </c>
      <c r="AG4" s="3">
        <f t="shared" si="1"/>
        <v>0</v>
      </c>
      <c r="AH4" s="3">
        <f t="shared" si="2"/>
        <v>9148.9818000000014</v>
      </c>
      <c r="AI4" s="3">
        <f>(D4*Y4)+(E4*Z4)</f>
        <v>3456.9115999999999</v>
      </c>
      <c r="AJ4" s="314" t="s">
        <v>167</v>
      </c>
    </row>
    <row r="5" spans="1:36" x14ac:dyDescent="0.3">
      <c r="A5" s="2">
        <f t="shared" ref="A5:A33" si="4">+A4+1</f>
        <v>46298</v>
      </c>
      <c r="B5" s="3">
        <v>0</v>
      </c>
      <c r="C5" s="3">
        <v>0</v>
      </c>
      <c r="D5" s="3">
        <v>46.21</v>
      </c>
      <c r="E5" s="3">
        <v>0</v>
      </c>
      <c r="F5" s="3">
        <v>123.98</v>
      </c>
      <c r="G5" s="3">
        <v>218.62</v>
      </c>
      <c r="H5" s="8">
        <v>8.99</v>
      </c>
      <c r="I5" s="3">
        <v>0</v>
      </c>
      <c r="J5" s="3">
        <v>0.7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7">
        <v>0</v>
      </c>
      <c r="Q5" s="4">
        <f t="shared" si="0"/>
        <v>398.5</v>
      </c>
      <c r="R5" s="3">
        <v>5.0999999999999996</v>
      </c>
      <c r="S5" s="3">
        <v>7.35</v>
      </c>
      <c r="T5" s="3">
        <v>0</v>
      </c>
      <c r="V5" s="3">
        <v>0</v>
      </c>
      <c r="W5" s="3">
        <v>0</v>
      </c>
      <c r="X5" s="3">
        <v>78.459999999999994</v>
      </c>
      <c r="Y5" s="3">
        <v>76.540000000000006</v>
      </c>
      <c r="Z5" s="3">
        <v>0</v>
      </c>
      <c r="AB5" s="5">
        <v>0.79166666666666663</v>
      </c>
      <c r="AC5" s="6">
        <v>190</v>
      </c>
      <c r="AD5" s="3">
        <v>13</v>
      </c>
      <c r="AE5" s="3">
        <v>0</v>
      </c>
      <c r="AF5" s="3">
        <v>5200</v>
      </c>
      <c r="AG5" s="3">
        <f t="shared" si="1"/>
        <v>0</v>
      </c>
      <c r="AH5" s="3">
        <f t="shared" si="2"/>
        <v>9727.4707999999991</v>
      </c>
      <c r="AI5" s="3">
        <f t="shared" si="3"/>
        <v>3536.9134000000004</v>
      </c>
      <c r="AJ5" s="327"/>
    </row>
    <row r="6" spans="1:36" x14ac:dyDescent="0.3">
      <c r="A6" s="2">
        <f t="shared" si="4"/>
        <v>46299</v>
      </c>
      <c r="B6" s="3">
        <v>0</v>
      </c>
      <c r="C6" s="3">
        <v>0</v>
      </c>
      <c r="D6" s="3">
        <v>42.66</v>
      </c>
      <c r="E6" s="3">
        <v>49.48</v>
      </c>
      <c r="F6" s="3">
        <v>58.21</v>
      </c>
      <c r="G6" s="3">
        <v>295.08999999999997</v>
      </c>
      <c r="H6" s="8">
        <v>26.55</v>
      </c>
      <c r="I6" s="3">
        <v>0</v>
      </c>
      <c r="J6" s="3">
        <v>4</v>
      </c>
      <c r="K6" s="3">
        <v>0</v>
      </c>
      <c r="L6" s="3">
        <v>0</v>
      </c>
      <c r="M6" s="3">
        <v>0</v>
      </c>
      <c r="N6" s="3">
        <v>2.48</v>
      </c>
      <c r="O6" s="3">
        <v>0</v>
      </c>
      <c r="P6" s="3">
        <v>0</v>
      </c>
      <c r="Q6" s="4">
        <f t="shared" si="0"/>
        <v>478.46999999999997</v>
      </c>
      <c r="R6" s="3">
        <v>6.64</v>
      </c>
      <c r="S6" s="3">
        <v>3.86</v>
      </c>
      <c r="T6" s="3">
        <v>0</v>
      </c>
      <c r="V6" s="3">
        <v>0</v>
      </c>
      <c r="W6" s="3">
        <v>0</v>
      </c>
      <c r="X6" s="3">
        <v>78.89</v>
      </c>
      <c r="Y6" s="3">
        <v>76.459999999999994</v>
      </c>
      <c r="Z6" s="3">
        <v>69.58</v>
      </c>
      <c r="AB6" s="5">
        <v>0.83333333333333337</v>
      </c>
      <c r="AC6" s="6">
        <v>200</v>
      </c>
      <c r="AD6" s="3">
        <v>13</v>
      </c>
      <c r="AE6" s="3">
        <v>0</v>
      </c>
      <c r="AF6" s="3">
        <v>5500</v>
      </c>
      <c r="AG6" s="3">
        <f t="shared" si="1"/>
        <v>0</v>
      </c>
      <c r="AH6" s="3">
        <f t="shared" si="2"/>
        <v>4592.1868999999997</v>
      </c>
      <c r="AI6" s="3">
        <f t="shared" si="3"/>
        <v>6704.601999999999</v>
      </c>
      <c r="AJ6" s="314" t="s">
        <v>168</v>
      </c>
    </row>
    <row r="7" spans="1:36" x14ac:dyDescent="0.3">
      <c r="A7" s="2">
        <f t="shared" si="4"/>
        <v>46300</v>
      </c>
      <c r="B7" s="3">
        <v>0</v>
      </c>
      <c r="C7" s="3">
        <v>40.79</v>
      </c>
      <c r="D7" s="3">
        <v>47.84</v>
      </c>
      <c r="E7" s="3">
        <v>0</v>
      </c>
      <c r="F7" s="3">
        <v>124.35</v>
      </c>
      <c r="G7" s="3">
        <v>261.95999999999998</v>
      </c>
      <c r="H7" s="8">
        <v>14.22</v>
      </c>
      <c r="I7" s="3">
        <v>0</v>
      </c>
      <c r="J7" s="3">
        <v>0.5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7">
        <v>0</v>
      </c>
      <c r="Q7" s="4">
        <f t="shared" si="0"/>
        <v>489.65999999999997</v>
      </c>
      <c r="R7" s="3">
        <v>6.05</v>
      </c>
      <c r="S7" s="3">
        <v>2.79</v>
      </c>
      <c r="T7" s="3">
        <v>0</v>
      </c>
      <c r="V7" s="3">
        <v>0</v>
      </c>
      <c r="W7" s="3">
        <v>78.59</v>
      </c>
      <c r="X7" s="3">
        <v>79.13</v>
      </c>
      <c r="Y7" s="3">
        <v>77.14</v>
      </c>
      <c r="Z7" s="3">
        <v>0</v>
      </c>
      <c r="AB7" s="5">
        <v>0.91666666666666663</v>
      </c>
      <c r="AC7" s="6">
        <v>220</v>
      </c>
      <c r="AD7" s="3">
        <v>13</v>
      </c>
      <c r="AE7" s="3">
        <v>0</v>
      </c>
      <c r="AF7" s="3">
        <v>5200</v>
      </c>
      <c r="AG7" s="3">
        <f t="shared" si="1"/>
        <v>3205.6860999999999</v>
      </c>
      <c r="AH7" s="3">
        <f t="shared" si="2"/>
        <v>9839.8154999999988</v>
      </c>
      <c r="AI7" s="3">
        <f t="shared" si="3"/>
        <v>3690.3776000000003</v>
      </c>
      <c r="AJ7" s="327"/>
    </row>
    <row r="8" spans="1:36" x14ac:dyDescent="0.3">
      <c r="A8" s="2">
        <f t="shared" si="4"/>
        <v>46301</v>
      </c>
      <c r="B8" s="3">
        <v>0</v>
      </c>
      <c r="C8" s="3">
        <v>79.48</v>
      </c>
      <c r="D8" s="3">
        <v>47.99</v>
      </c>
      <c r="E8" s="3">
        <v>0</v>
      </c>
      <c r="F8" s="3">
        <v>120.48</v>
      </c>
      <c r="G8" s="3">
        <v>236.05</v>
      </c>
      <c r="H8" s="8">
        <v>14.74</v>
      </c>
      <c r="I8" s="3">
        <v>0</v>
      </c>
      <c r="J8" s="8">
        <v>0</v>
      </c>
      <c r="K8" s="3">
        <v>0</v>
      </c>
      <c r="L8" s="3">
        <v>0</v>
      </c>
      <c r="M8" s="3">
        <v>0</v>
      </c>
      <c r="N8" s="3">
        <v>0</v>
      </c>
      <c r="O8" s="3">
        <v>34.18</v>
      </c>
      <c r="P8" s="9">
        <v>0</v>
      </c>
      <c r="Q8" s="4">
        <f t="shared" si="0"/>
        <v>532.91999999999996</v>
      </c>
      <c r="R8" s="3">
        <v>6.07</v>
      </c>
      <c r="S8" s="3">
        <v>2.8</v>
      </c>
      <c r="T8" s="3">
        <v>0</v>
      </c>
      <c r="V8" s="3">
        <v>0</v>
      </c>
      <c r="W8" s="3">
        <v>76.45</v>
      </c>
      <c r="X8" s="3">
        <v>79.44</v>
      </c>
      <c r="Y8" s="3">
        <v>76.69</v>
      </c>
      <c r="Z8" s="3">
        <v>0</v>
      </c>
      <c r="AB8" s="5">
        <v>0.91666666666666663</v>
      </c>
      <c r="AC8" s="6">
        <v>220</v>
      </c>
      <c r="AD8" s="3">
        <v>13</v>
      </c>
      <c r="AE8" s="3">
        <v>0</v>
      </c>
      <c r="AF8" s="3">
        <v>5000</v>
      </c>
      <c r="AG8" s="3">
        <f t="shared" si="1"/>
        <v>6076.2460000000001</v>
      </c>
      <c r="AH8" s="3">
        <f t="shared" si="2"/>
        <v>9570.9312000000009</v>
      </c>
      <c r="AI8" s="3">
        <f t="shared" si="3"/>
        <v>3680.3531000000003</v>
      </c>
      <c r="AJ8" s="327"/>
    </row>
    <row r="9" spans="1:36" x14ac:dyDescent="0.3">
      <c r="A9" s="2">
        <f t="shared" si="4"/>
        <v>46302</v>
      </c>
      <c r="B9" s="3">
        <v>0</v>
      </c>
      <c r="C9" s="3">
        <v>0</v>
      </c>
      <c r="D9" s="3">
        <v>45.21</v>
      </c>
      <c r="E9" s="3">
        <v>0</v>
      </c>
      <c r="F9" s="3">
        <v>159.43</v>
      </c>
      <c r="G9" s="3">
        <v>282.83</v>
      </c>
      <c r="H9" s="8">
        <v>10.14</v>
      </c>
      <c r="I9" s="3">
        <v>0</v>
      </c>
      <c r="J9" s="3">
        <v>6.2</v>
      </c>
      <c r="K9" s="3">
        <v>0</v>
      </c>
      <c r="L9" s="3">
        <v>0</v>
      </c>
      <c r="M9" s="3">
        <v>0</v>
      </c>
      <c r="N9" s="3">
        <v>2.31</v>
      </c>
      <c r="O9" s="3">
        <v>0</v>
      </c>
      <c r="P9" s="7">
        <v>0</v>
      </c>
      <c r="Q9" s="4">
        <f t="shared" si="0"/>
        <v>506.12</v>
      </c>
      <c r="R9" s="3">
        <v>5.52</v>
      </c>
      <c r="S9" s="3">
        <v>0</v>
      </c>
      <c r="T9" s="3">
        <v>0</v>
      </c>
      <c r="V9" s="3">
        <v>0</v>
      </c>
      <c r="W9" s="3">
        <v>0</v>
      </c>
      <c r="X9" s="3">
        <v>79.38</v>
      </c>
      <c r="Y9" s="3">
        <v>77.03</v>
      </c>
      <c r="Z9" s="3">
        <v>0</v>
      </c>
      <c r="AB9" s="5">
        <v>0.91666666666666663</v>
      </c>
      <c r="AC9" s="6">
        <v>220</v>
      </c>
      <c r="AD9" s="3">
        <v>13</v>
      </c>
      <c r="AE9" s="3">
        <v>0</v>
      </c>
      <c r="AF9" s="3">
        <v>5000</v>
      </c>
      <c r="AG9" s="3">
        <f t="shared" si="1"/>
        <v>0</v>
      </c>
      <c r="AH9" s="3">
        <f t="shared" si="2"/>
        <v>12655.553400000001</v>
      </c>
      <c r="AI9" s="3">
        <f t="shared" si="3"/>
        <v>3482.5263</v>
      </c>
      <c r="AJ9" s="315" t="s">
        <v>170</v>
      </c>
    </row>
    <row r="10" spans="1:36" x14ac:dyDescent="0.3">
      <c r="A10" s="2">
        <f t="shared" si="4"/>
        <v>46303</v>
      </c>
      <c r="B10" s="3">
        <v>0</v>
      </c>
      <c r="C10" s="3">
        <v>122.77</v>
      </c>
      <c r="D10" s="3">
        <v>53.53</v>
      </c>
      <c r="E10" s="3">
        <v>0</v>
      </c>
      <c r="F10" s="3">
        <v>62.2</v>
      </c>
      <c r="G10" s="3">
        <v>199.98</v>
      </c>
      <c r="H10" s="8">
        <v>26.08</v>
      </c>
      <c r="I10" s="3">
        <v>0</v>
      </c>
      <c r="J10" s="3">
        <v>4.7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7">
        <v>0</v>
      </c>
      <c r="Q10" s="4">
        <f t="shared" si="0"/>
        <v>469.26</v>
      </c>
      <c r="R10" s="3">
        <v>3.9</v>
      </c>
      <c r="S10" s="3">
        <v>4.33</v>
      </c>
      <c r="T10" s="3">
        <v>0</v>
      </c>
      <c r="V10" s="3">
        <v>0</v>
      </c>
      <c r="W10" s="3">
        <v>78.56</v>
      </c>
      <c r="X10" s="3">
        <v>78.39</v>
      </c>
      <c r="Y10" s="3">
        <v>76.41</v>
      </c>
      <c r="Z10" s="3">
        <v>0</v>
      </c>
      <c r="AB10" s="5">
        <v>0.75</v>
      </c>
      <c r="AC10" s="6">
        <v>180</v>
      </c>
      <c r="AD10" s="3">
        <v>13</v>
      </c>
      <c r="AE10" s="3">
        <v>0</v>
      </c>
      <c r="AF10" s="3">
        <v>5200</v>
      </c>
      <c r="AG10" s="3">
        <f t="shared" si="1"/>
        <v>9644.8112000000001</v>
      </c>
      <c r="AH10" s="3">
        <f t="shared" si="2"/>
        <v>4875.8580000000002</v>
      </c>
      <c r="AI10" s="3">
        <f t="shared" si="3"/>
        <v>4090.2273</v>
      </c>
      <c r="AJ10" s="327"/>
    </row>
    <row r="11" spans="1:36" x14ac:dyDescent="0.3">
      <c r="A11" s="2">
        <f t="shared" si="4"/>
        <v>46304</v>
      </c>
      <c r="B11" s="3">
        <v>0</v>
      </c>
      <c r="C11" s="3">
        <v>82.59</v>
      </c>
      <c r="D11" s="3">
        <v>54.48</v>
      </c>
      <c r="E11" s="3">
        <v>0</v>
      </c>
      <c r="F11" s="3">
        <v>87.74</v>
      </c>
      <c r="G11" s="3">
        <v>304.76</v>
      </c>
      <c r="H11" s="8">
        <v>33.44</v>
      </c>
      <c r="I11" s="3">
        <v>0</v>
      </c>
      <c r="J11" s="3">
        <v>24.61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4">
        <f t="shared" si="0"/>
        <v>587.62</v>
      </c>
      <c r="R11" s="3">
        <v>5.87</v>
      </c>
      <c r="S11" s="3">
        <v>2.67</v>
      </c>
      <c r="T11" s="3">
        <v>0</v>
      </c>
      <c r="V11" s="3">
        <v>0</v>
      </c>
      <c r="W11" s="3">
        <v>78.55</v>
      </c>
      <c r="X11" s="3">
        <v>78.41</v>
      </c>
      <c r="Y11" s="3">
        <v>76.52</v>
      </c>
      <c r="Z11" s="3">
        <v>0</v>
      </c>
      <c r="AB11" s="5">
        <v>0.91666666666666663</v>
      </c>
      <c r="AC11" s="6">
        <v>220</v>
      </c>
      <c r="AD11" s="3">
        <v>13</v>
      </c>
      <c r="AE11" s="3">
        <v>0</v>
      </c>
      <c r="AF11" s="3">
        <v>5000</v>
      </c>
      <c r="AG11" s="3">
        <f t="shared" si="1"/>
        <v>6487.4444999999996</v>
      </c>
      <c r="AH11" s="3">
        <f t="shared" si="2"/>
        <v>6879.6933999999992</v>
      </c>
      <c r="AI11" s="3">
        <f t="shared" si="3"/>
        <v>4168.8095999999996</v>
      </c>
      <c r="AJ11" s="327"/>
    </row>
    <row r="12" spans="1:36" x14ac:dyDescent="0.3">
      <c r="A12" s="2">
        <f t="shared" si="4"/>
        <v>46305</v>
      </c>
      <c r="B12" s="3">
        <v>0</v>
      </c>
      <c r="C12" s="3">
        <v>122.83</v>
      </c>
      <c r="D12" s="3">
        <v>59.49</v>
      </c>
      <c r="E12" s="3">
        <v>92.37</v>
      </c>
      <c r="F12" s="3">
        <v>119.76</v>
      </c>
      <c r="G12" s="3">
        <v>287.45999999999998</v>
      </c>
      <c r="H12" s="8">
        <v>9.74</v>
      </c>
      <c r="I12" s="3">
        <v>0</v>
      </c>
      <c r="J12" s="3">
        <v>10.4</v>
      </c>
      <c r="K12" s="3">
        <v>0</v>
      </c>
      <c r="L12" s="3">
        <v>0</v>
      </c>
      <c r="M12" s="3">
        <v>0</v>
      </c>
      <c r="N12" s="8">
        <v>0</v>
      </c>
      <c r="O12" s="3">
        <v>30.91</v>
      </c>
      <c r="P12" s="7">
        <v>0</v>
      </c>
      <c r="Q12" s="4">
        <f t="shared" si="0"/>
        <v>732.95999999999992</v>
      </c>
      <c r="R12" s="3">
        <v>6.14</v>
      </c>
      <c r="S12" s="3">
        <v>7.04</v>
      </c>
      <c r="T12" s="3">
        <v>0</v>
      </c>
      <c r="V12" s="3">
        <v>0</v>
      </c>
      <c r="W12" s="3">
        <v>78.209999999999994</v>
      </c>
      <c r="X12" s="3">
        <v>78.55</v>
      </c>
      <c r="Y12" s="3">
        <v>76.67</v>
      </c>
      <c r="Z12" s="3">
        <v>69.540000000000006</v>
      </c>
      <c r="AB12" s="5">
        <v>0.875</v>
      </c>
      <c r="AC12" s="6">
        <v>210</v>
      </c>
      <c r="AD12" s="3">
        <v>13</v>
      </c>
      <c r="AE12" s="3">
        <v>35000</v>
      </c>
      <c r="AF12" s="3">
        <v>5000</v>
      </c>
      <c r="AG12" s="3">
        <f t="shared" si="1"/>
        <v>9606.5342999999993</v>
      </c>
      <c r="AH12" s="3">
        <f t="shared" si="2"/>
        <v>9407.1479999999992</v>
      </c>
      <c r="AI12" s="3">
        <f t="shared" si="3"/>
        <v>10984.508100000003</v>
      </c>
      <c r="AJ12" s="327"/>
    </row>
    <row r="13" spans="1:36" x14ac:dyDescent="0.3">
      <c r="A13" s="2">
        <f t="shared" si="4"/>
        <v>46306</v>
      </c>
      <c r="B13" s="3">
        <v>0</v>
      </c>
      <c r="C13" s="3">
        <v>78.17</v>
      </c>
      <c r="D13" s="3">
        <v>0</v>
      </c>
      <c r="E13" s="3">
        <v>0</v>
      </c>
      <c r="F13" s="3">
        <v>124.12</v>
      </c>
      <c r="G13" s="3">
        <v>215.06</v>
      </c>
      <c r="H13" s="8">
        <v>30.21</v>
      </c>
      <c r="I13" s="3">
        <v>0</v>
      </c>
      <c r="J13" s="3">
        <v>1.8</v>
      </c>
      <c r="K13" s="3">
        <v>0</v>
      </c>
      <c r="L13" s="3">
        <v>0</v>
      </c>
      <c r="M13" s="3">
        <v>0</v>
      </c>
      <c r="N13" s="8">
        <v>0</v>
      </c>
      <c r="O13" s="3">
        <v>0</v>
      </c>
      <c r="P13" s="7">
        <v>0</v>
      </c>
      <c r="Q13" s="4">
        <f t="shared" si="0"/>
        <v>449.36</v>
      </c>
      <c r="R13" s="3">
        <v>5.52</v>
      </c>
      <c r="S13" s="3">
        <v>3.13</v>
      </c>
      <c r="T13" s="3">
        <v>0</v>
      </c>
      <c r="V13" s="3">
        <v>0</v>
      </c>
      <c r="W13" s="3">
        <v>78.540000000000006</v>
      </c>
      <c r="X13" s="3">
        <v>79.150000000000006</v>
      </c>
      <c r="Y13" s="3">
        <v>0</v>
      </c>
      <c r="Z13" s="3">
        <v>0</v>
      </c>
      <c r="AB13" s="5">
        <v>0.875</v>
      </c>
      <c r="AC13" s="6">
        <v>210</v>
      </c>
      <c r="AD13" s="3">
        <v>13</v>
      </c>
      <c r="AE13" s="3">
        <v>0</v>
      </c>
      <c r="AF13" s="3">
        <v>6000</v>
      </c>
      <c r="AG13" s="3">
        <f t="shared" si="1"/>
        <v>6139.4718000000003</v>
      </c>
      <c r="AH13" s="3">
        <f t="shared" si="2"/>
        <v>9824.0980000000018</v>
      </c>
      <c r="AI13" s="3">
        <f t="shared" si="3"/>
        <v>0</v>
      </c>
      <c r="AJ13" s="327"/>
    </row>
    <row r="14" spans="1:36" x14ac:dyDescent="0.3">
      <c r="A14" s="2">
        <f t="shared" si="4"/>
        <v>46307</v>
      </c>
      <c r="B14" s="3">
        <v>0</v>
      </c>
      <c r="C14" s="3">
        <v>0</v>
      </c>
      <c r="D14" s="3">
        <v>14.05</v>
      </c>
      <c r="E14" s="3">
        <v>0</v>
      </c>
      <c r="F14" s="3">
        <v>91.83</v>
      </c>
      <c r="G14" s="3">
        <v>305.25</v>
      </c>
      <c r="H14" s="8">
        <v>13.84</v>
      </c>
      <c r="I14" s="3">
        <v>0</v>
      </c>
      <c r="J14" s="3">
        <v>5.3</v>
      </c>
      <c r="K14" s="3">
        <v>0</v>
      </c>
      <c r="L14" s="3">
        <v>0</v>
      </c>
      <c r="M14" s="3">
        <v>0</v>
      </c>
      <c r="N14" s="3">
        <v>1.36</v>
      </c>
      <c r="O14" s="3">
        <v>26</v>
      </c>
      <c r="P14" s="7">
        <v>0</v>
      </c>
      <c r="Q14" s="4">
        <f t="shared" si="0"/>
        <v>457.63</v>
      </c>
      <c r="R14" s="3">
        <v>5.88</v>
      </c>
      <c r="S14" s="3">
        <v>7.04</v>
      </c>
      <c r="T14" s="3">
        <v>0</v>
      </c>
      <c r="V14" s="3">
        <v>0</v>
      </c>
      <c r="W14" s="3">
        <v>0</v>
      </c>
      <c r="X14" s="3">
        <v>78.47</v>
      </c>
      <c r="Y14" s="3">
        <v>76.349999999999994</v>
      </c>
      <c r="Z14" s="3">
        <v>0</v>
      </c>
      <c r="AB14" s="5">
        <v>0.75</v>
      </c>
      <c r="AC14" s="6">
        <v>180</v>
      </c>
      <c r="AD14" s="3">
        <v>13</v>
      </c>
      <c r="AE14" s="3">
        <v>35000</v>
      </c>
      <c r="AF14" s="3">
        <v>5500</v>
      </c>
      <c r="AG14" s="3">
        <f t="shared" si="1"/>
        <v>0</v>
      </c>
      <c r="AH14" s="3">
        <f t="shared" si="2"/>
        <v>7205.9000999999998</v>
      </c>
      <c r="AI14" s="3">
        <f t="shared" si="3"/>
        <v>1072.7175</v>
      </c>
      <c r="AJ14" s="314" t="s">
        <v>167</v>
      </c>
    </row>
    <row r="15" spans="1:36" x14ac:dyDescent="0.3">
      <c r="A15" s="2">
        <f t="shared" si="4"/>
        <v>46308</v>
      </c>
      <c r="B15" s="3">
        <v>0</v>
      </c>
      <c r="C15" s="3">
        <v>128.61000000000001</v>
      </c>
      <c r="D15" s="3">
        <v>114.19</v>
      </c>
      <c r="E15" s="3">
        <v>0</v>
      </c>
      <c r="F15" s="3">
        <v>58.84</v>
      </c>
      <c r="G15" s="3">
        <v>262.39999999999998</v>
      </c>
      <c r="H15" s="8">
        <v>14.52</v>
      </c>
      <c r="I15" s="3">
        <v>0</v>
      </c>
      <c r="J15" s="3">
        <v>2.2999999999999998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7">
        <v>0</v>
      </c>
      <c r="Q15" s="4">
        <f t="shared" si="0"/>
        <v>580.8599999999999</v>
      </c>
      <c r="R15" s="3">
        <v>5.62</v>
      </c>
      <c r="S15" s="3">
        <v>2.59</v>
      </c>
      <c r="T15" s="3">
        <v>0</v>
      </c>
      <c r="V15" s="3">
        <v>0</v>
      </c>
      <c r="W15" s="3">
        <v>78.56</v>
      </c>
      <c r="X15" s="3">
        <v>78.44</v>
      </c>
      <c r="Y15" s="3">
        <v>76.709999999999994</v>
      </c>
      <c r="Z15" s="3">
        <v>0</v>
      </c>
      <c r="AB15" s="5">
        <v>0.875</v>
      </c>
      <c r="AC15" s="6">
        <v>210</v>
      </c>
      <c r="AD15" s="3">
        <v>12.98</v>
      </c>
      <c r="AE15" s="3">
        <v>34500</v>
      </c>
      <c r="AF15" s="3">
        <v>5200</v>
      </c>
      <c r="AG15" s="3">
        <f t="shared" si="1"/>
        <v>10103.601600000002</v>
      </c>
      <c r="AH15" s="3">
        <f t="shared" si="2"/>
        <v>4615.4096</v>
      </c>
      <c r="AI15" s="3">
        <f t="shared" si="3"/>
        <v>8759.5148999999983</v>
      </c>
      <c r="AJ15" s="327"/>
    </row>
    <row r="16" spans="1:36" x14ac:dyDescent="0.3">
      <c r="A16" s="2">
        <f t="shared" si="4"/>
        <v>46309</v>
      </c>
      <c r="B16" s="3">
        <v>0</v>
      </c>
      <c r="C16" s="3">
        <v>40.29</v>
      </c>
      <c r="D16" s="3">
        <v>60.31</v>
      </c>
      <c r="E16" s="3">
        <v>0</v>
      </c>
      <c r="F16" s="3">
        <v>163.19999999999999</v>
      </c>
      <c r="G16" s="3">
        <v>314.45999999999998</v>
      </c>
      <c r="H16" s="8">
        <v>13.5</v>
      </c>
      <c r="I16" s="3">
        <v>0</v>
      </c>
      <c r="J16" s="3">
        <v>6.8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7">
        <v>0</v>
      </c>
      <c r="Q16" s="4">
        <f t="shared" si="0"/>
        <v>598.55999999999995</v>
      </c>
      <c r="R16" s="3">
        <v>4.9800000000000004</v>
      </c>
      <c r="S16" s="3">
        <v>7.53</v>
      </c>
      <c r="T16" s="3">
        <v>0</v>
      </c>
      <c r="V16" s="3">
        <v>0</v>
      </c>
      <c r="W16" s="3">
        <v>78.56</v>
      </c>
      <c r="X16" s="3">
        <v>78.650000000000006</v>
      </c>
      <c r="Y16" s="3">
        <v>77.02</v>
      </c>
      <c r="Z16" s="3">
        <v>0</v>
      </c>
      <c r="AB16" s="5">
        <v>0.875</v>
      </c>
      <c r="AC16" s="6">
        <v>210</v>
      </c>
      <c r="AD16" s="3">
        <v>13</v>
      </c>
      <c r="AE16" s="3">
        <v>0</v>
      </c>
      <c r="AF16" s="3">
        <v>5000</v>
      </c>
      <c r="AG16" s="3">
        <f t="shared" si="1"/>
        <v>3165.1824000000001</v>
      </c>
      <c r="AH16" s="3">
        <f t="shared" si="2"/>
        <v>12835.68</v>
      </c>
      <c r="AI16" s="3">
        <f t="shared" si="3"/>
        <v>4645.0761999999995</v>
      </c>
      <c r="AJ16" s="327"/>
    </row>
    <row r="17" spans="1:36" x14ac:dyDescent="0.3">
      <c r="A17" s="2">
        <f t="shared" si="4"/>
        <v>46310</v>
      </c>
      <c r="B17" s="3">
        <v>0</v>
      </c>
      <c r="C17" s="3">
        <v>109.68</v>
      </c>
      <c r="D17" s="3">
        <v>25.1</v>
      </c>
      <c r="E17" s="3">
        <v>0</v>
      </c>
      <c r="F17" s="3">
        <v>66.33</v>
      </c>
      <c r="G17" s="3">
        <v>280.60000000000002</v>
      </c>
      <c r="H17" s="3">
        <v>26.92</v>
      </c>
      <c r="I17" s="3">
        <v>0</v>
      </c>
      <c r="J17" s="3">
        <v>5.5</v>
      </c>
      <c r="K17" s="3">
        <v>0</v>
      </c>
      <c r="L17" s="3">
        <v>0</v>
      </c>
      <c r="M17" s="3">
        <v>0</v>
      </c>
      <c r="N17" s="3">
        <v>0</v>
      </c>
      <c r="O17" s="3">
        <v>33.130000000000003</v>
      </c>
      <c r="P17" s="7">
        <v>0</v>
      </c>
      <c r="Q17" s="4">
        <f t="shared" si="0"/>
        <v>547.2600000000001</v>
      </c>
      <c r="R17" s="3">
        <v>6.23</v>
      </c>
      <c r="S17" s="3">
        <v>2.62</v>
      </c>
      <c r="T17" s="3">
        <v>0</v>
      </c>
      <c r="V17" s="3">
        <v>0</v>
      </c>
      <c r="W17" s="3">
        <v>78.55</v>
      </c>
      <c r="X17" s="3">
        <v>78.56</v>
      </c>
      <c r="Y17" s="3">
        <v>76.36</v>
      </c>
      <c r="Z17" s="3">
        <v>0</v>
      </c>
      <c r="AB17" s="5">
        <v>0.875</v>
      </c>
      <c r="AC17" s="6">
        <v>210</v>
      </c>
      <c r="AD17" s="3">
        <v>11.58</v>
      </c>
      <c r="AE17" s="3">
        <v>0</v>
      </c>
      <c r="AF17" s="3">
        <v>5500</v>
      </c>
      <c r="AG17" s="3">
        <f t="shared" si="1"/>
        <v>8615.3639999999996</v>
      </c>
      <c r="AH17" s="3">
        <f t="shared" si="2"/>
        <v>5210.8847999999998</v>
      </c>
      <c r="AI17" s="3">
        <f t="shared" si="3"/>
        <v>1916.6360000000002</v>
      </c>
      <c r="AJ17" s="327"/>
    </row>
    <row r="18" spans="1:36" x14ac:dyDescent="0.3">
      <c r="A18" s="2">
        <f t="shared" si="4"/>
        <v>46311</v>
      </c>
      <c r="B18" s="3">
        <v>0</v>
      </c>
      <c r="C18" s="3">
        <v>0</v>
      </c>
      <c r="D18" s="3">
        <v>25.44</v>
      </c>
      <c r="E18" s="3">
        <v>0</v>
      </c>
      <c r="F18" s="3">
        <v>85.25</v>
      </c>
      <c r="G18" s="3">
        <v>308.77</v>
      </c>
      <c r="H18" s="3">
        <v>15.32</v>
      </c>
      <c r="I18" s="3">
        <v>0</v>
      </c>
      <c r="J18" s="3">
        <v>8.4</v>
      </c>
      <c r="K18" s="3">
        <v>0</v>
      </c>
      <c r="L18" s="3">
        <v>0</v>
      </c>
      <c r="M18" s="3">
        <v>0</v>
      </c>
      <c r="N18" s="3">
        <v>0.31</v>
      </c>
      <c r="O18" s="3">
        <v>0</v>
      </c>
      <c r="P18" s="7">
        <v>0</v>
      </c>
      <c r="Q18" s="4">
        <f t="shared" si="0"/>
        <v>443.48999999999995</v>
      </c>
      <c r="R18" s="3">
        <v>5.77</v>
      </c>
      <c r="S18" s="3">
        <v>2.73</v>
      </c>
      <c r="T18" s="3">
        <v>0</v>
      </c>
      <c r="V18" s="3">
        <v>0</v>
      </c>
      <c r="W18" s="3">
        <v>0</v>
      </c>
      <c r="X18" s="3">
        <v>78.709999999999994</v>
      </c>
      <c r="Y18" s="3">
        <v>76.95</v>
      </c>
      <c r="Z18" s="3">
        <v>0</v>
      </c>
      <c r="AB18" s="5">
        <v>0.375</v>
      </c>
      <c r="AC18" s="6">
        <v>90</v>
      </c>
      <c r="AD18" s="3">
        <v>13</v>
      </c>
      <c r="AE18" s="10"/>
      <c r="AF18" s="3">
        <v>4500</v>
      </c>
      <c r="AG18" s="3">
        <f t="shared" si="1"/>
        <v>0</v>
      </c>
      <c r="AH18" s="3">
        <f t="shared" si="2"/>
        <v>6710.0274999999992</v>
      </c>
      <c r="AI18" s="3">
        <f t="shared" si="3"/>
        <v>1957.6080000000002</v>
      </c>
      <c r="AJ18" s="327"/>
    </row>
    <row r="19" spans="1:36" x14ac:dyDescent="0.3">
      <c r="A19" s="2">
        <f t="shared" si="4"/>
        <v>46312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7"/>
      <c r="Q19" s="4">
        <f t="shared" si="0"/>
        <v>0</v>
      </c>
      <c r="R19" s="3"/>
      <c r="S19" s="3"/>
      <c r="T19" s="3"/>
      <c r="V19" s="3"/>
      <c r="W19" s="3"/>
      <c r="X19" s="3"/>
      <c r="Y19" s="3"/>
      <c r="Z19" s="3"/>
      <c r="AB19" s="5"/>
      <c r="AC19" s="6"/>
      <c r="AD19" s="3"/>
      <c r="AE19" s="3"/>
      <c r="AF19" s="3"/>
      <c r="AG19" s="3">
        <f t="shared" si="1"/>
        <v>0</v>
      </c>
      <c r="AH19" s="3">
        <f t="shared" si="2"/>
        <v>0</v>
      </c>
      <c r="AI19" s="3">
        <f t="shared" si="3"/>
        <v>0</v>
      </c>
      <c r="AJ19" s="327"/>
    </row>
    <row r="20" spans="1:36" x14ac:dyDescent="0.3">
      <c r="A20" s="2">
        <f t="shared" si="4"/>
        <v>46313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7"/>
      <c r="Q20" s="4">
        <f t="shared" si="0"/>
        <v>0</v>
      </c>
      <c r="R20" s="3"/>
      <c r="S20" s="3"/>
      <c r="T20" s="3"/>
      <c r="V20" s="3"/>
      <c r="W20" s="3"/>
      <c r="X20" s="3"/>
      <c r="Y20" s="3"/>
      <c r="Z20" s="3"/>
      <c r="AB20" s="5"/>
      <c r="AC20" s="6"/>
      <c r="AD20" s="3"/>
      <c r="AE20" s="3"/>
      <c r="AF20" s="3"/>
      <c r="AG20" s="3">
        <f t="shared" si="1"/>
        <v>0</v>
      </c>
      <c r="AH20" s="3">
        <f t="shared" si="2"/>
        <v>0</v>
      </c>
      <c r="AI20" s="3">
        <f t="shared" si="3"/>
        <v>0</v>
      </c>
      <c r="AJ20" s="327"/>
    </row>
    <row r="21" spans="1:36" x14ac:dyDescent="0.3">
      <c r="A21" s="2">
        <f t="shared" si="4"/>
        <v>46314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7"/>
      <c r="Q21" s="4">
        <f t="shared" si="0"/>
        <v>0</v>
      </c>
      <c r="R21" s="3"/>
      <c r="S21" s="3"/>
      <c r="T21" s="3"/>
      <c r="V21" s="3"/>
      <c r="W21" s="3"/>
      <c r="X21" s="3"/>
      <c r="Y21" s="3"/>
      <c r="Z21" s="3"/>
      <c r="AB21" s="5"/>
      <c r="AC21" s="6"/>
      <c r="AD21" s="3"/>
      <c r="AE21" s="3"/>
      <c r="AF21" s="3"/>
      <c r="AG21" s="3">
        <f t="shared" si="1"/>
        <v>0</v>
      </c>
      <c r="AH21" s="3">
        <f t="shared" si="2"/>
        <v>0</v>
      </c>
      <c r="AI21" s="3">
        <f t="shared" si="3"/>
        <v>0</v>
      </c>
      <c r="AJ21" s="327"/>
    </row>
    <row r="22" spans="1:36" x14ac:dyDescent="0.3">
      <c r="A22" s="2">
        <f t="shared" si="4"/>
        <v>46315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7"/>
      <c r="Q22" s="4">
        <f t="shared" si="0"/>
        <v>0</v>
      </c>
      <c r="R22" s="3"/>
      <c r="S22" s="3"/>
      <c r="T22" s="3"/>
      <c r="V22" s="3"/>
      <c r="W22" s="3"/>
      <c r="X22" s="3"/>
      <c r="Y22" s="3"/>
      <c r="Z22" s="3"/>
      <c r="AB22" s="5"/>
      <c r="AC22" s="6"/>
      <c r="AD22" s="3"/>
      <c r="AE22" s="3"/>
      <c r="AF22" s="3"/>
      <c r="AG22" s="3">
        <f t="shared" si="1"/>
        <v>0</v>
      </c>
      <c r="AH22" s="3">
        <f t="shared" si="2"/>
        <v>0</v>
      </c>
      <c r="AI22" s="3">
        <f t="shared" si="3"/>
        <v>0</v>
      </c>
      <c r="AJ22" s="327"/>
    </row>
    <row r="23" spans="1:36" x14ac:dyDescent="0.3">
      <c r="A23" s="2">
        <f t="shared" si="4"/>
        <v>46316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7"/>
      <c r="Q23" s="4">
        <f t="shared" si="0"/>
        <v>0</v>
      </c>
      <c r="R23" s="11"/>
      <c r="S23" s="11"/>
      <c r="T23" s="3"/>
      <c r="V23" s="3"/>
      <c r="W23" s="3"/>
      <c r="X23" s="3"/>
      <c r="Y23" s="3"/>
      <c r="Z23" s="3"/>
      <c r="AB23" s="5"/>
      <c r="AC23" s="6"/>
      <c r="AD23" s="3"/>
      <c r="AE23" s="3"/>
      <c r="AF23" s="3"/>
      <c r="AG23" s="3">
        <f t="shared" si="1"/>
        <v>0</v>
      </c>
      <c r="AH23" s="3">
        <f t="shared" si="2"/>
        <v>0</v>
      </c>
      <c r="AI23" s="3">
        <f t="shared" si="3"/>
        <v>0</v>
      </c>
      <c r="AJ23" s="327"/>
    </row>
    <row r="24" spans="1:36" x14ac:dyDescent="0.3">
      <c r="A24" s="2">
        <f t="shared" si="4"/>
        <v>46317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7"/>
      <c r="Q24" s="4">
        <f t="shared" si="0"/>
        <v>0</v>
      </c>
      <c r="R24" s="11"/>
      <c r="S24" s="11"/>
      <c r="T24" s="3"/>
      <c r="V24" s="3"/>
      <c r="W24" s="3"/>
      <c r="X24" s="3"/>
      <c r="Y24" s="3"/>
      <c r="Z24" s="3"/>
      <c r="AB24" s="5"/>
      <c r="AC24" s="6"/>
      <c r="AD24" s="3"/>
      <c r="AE24" s="3"/>
      <c r="AF24" s="3"/>
      <c r="AG24" s="3">
        <f t="shared" si="1"/>
        <v>0</v>
      </c>
      <c r="AH24" s="3">
        <f t="shared" si="2"/>
        <v>0</v>
      </c>
      <c r="AI24" s="3">
        <f t="shared" si="3"/>
        <v>0</v>
      </c>
      <c r="AJ24" s="327"/>
    </row>
    <row r="25" spans="1:36" x14ac:dyDescent="0.3">
      <c r="A25" s="2">
        <f t="shared" si="4"/>
        <v>46318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7"/>
      <c r="Q25" s="4">
        <f t="shared" si="0"/>
        <v>0</v>
      </c>
      <c r="R25" s="11"/>
      <c r="S25" s="11"/>
      <c r="T25" s="3"/>
      <c r="V25" s="3"/>
      <c r="W25" s="3"/>
      <c r="X25" s="3"/>
      <c r="Y25" s="3"/>
      <c r="Z25" s="3"/>
      <c r="AB25" s="5"/>
      <c r="AC25" s="6"/>
      <c r="AD25" s="3"/>
      <c r="AE25" s="3"/>
      <c r="AF25" s="3"/>
      <c r="AG25" s="3">
        <f t="shared" si="1"/>
        <v>0</v>
      </c>
      <c r="AH25" s="3">
        <f t="shared" si="2"/>
        <v>0</v>
      </c>
      <c r="AI25" s="3">
        <f t="shared" si="3"/>
        <v>0</v>
      </c>
      <c r="AJ25" s="327"/>
    </row>
    <row r="26" spans="1:36" x14ac:dyDescent="0.3">
      <c r="A26" s="2">
        <f t="shared" si="4"/>
        <v>46319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7"/>
      <c r="Q26" s="4">
        <f t="shared" si="0"/>
        <v>0</v>
      </c>
      <c r="R26" s="3"/>
      <c r="S26" s="3"/>
      <c r="T26" s="3"/>
      <c r="V26" s="3"/>
      <c r="W26" s="3"/>
      <c r="X26" s="3"/>
      <c r="Y26" s="3"/>
      <c r="Z26" s="3"/>
      <c r="AB26" s="5"/>
      <c r="AC26" s="6"/>
      <c r="AD26" s="3"/>
      <c r="AE26" s="3"/>
      <c r="AF26" s="3"/>
      <c r="AG26" s="3">
        <f t="shared" si="1"/>
        <v>0</v>
      </c>
      <c r="AH26" s="3">
        <f t="shared" si="2"/>
        <v>0</v>
      </c>
      <c r="AI26" s="3">
        <f t="shared" si="3"/>
        <v>0</v>
      </c>
      <c r="AJ26" s="327"/>
    </row>
    <row r="27" spans="1:36" x14ac:dyDescent="0.3">
      <c r="A27" s="2">
        <f t="shared" si="4"/>
        <v>46320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7"/>
      <c r="Q27" s="4">
        <f t="shared" si="0"/>
        <v>0</v>
      </c>
      <c r="R27" s="3"/>
      <c r="S27" s="3"/>
      <c r="T27" s="3"/>
      <c r="V27" s="3"/>
      <c r="W27" s="3"/>
      <c r="X27" s="3"/>
      <c r="Y27" s="3"/>
      <c r="Z27" s="3"/>
      <c r="AB27" s="5"/>
      <c r="AC27" s="6"/>
      <c r="AD27" s="3"/>
      <c r="AE27" s="3"/>
      <c r="AF27" s="3"/>
      <c r="AG27" s="3">
        <f t="shared" si="1"/>
        <v>0</v>
      </c>
      <c r="AH27" s="3">
        <f t="shared" si="2"/>
        <v>0</v>
      </c>
      <c r="AI27" s="3">
        <f t="shared" si="3"/>
        <v>0</v>
      </c>
      <c r="AJ27" s="327"/>
    </row>
    <row r="28" spans="1:36" x14ac:dyDescent="0.3">
      <c r="A28" s="2">
        <f t="shared" si="4"/>
        <v>46321</v>
      </c>
      <c r="B28" s="3"/>
      <c r="C28" s="10"/>
      <c r="D28" s="10"/>
      <c r="E28" s="3"/>
      <c r="F28" s="10"/>
      <c r="G28" s="3"/>
      <c r="H28" s="3"/>
      <c r="I28" s="3"/>
      <c r="J28" s="3"/>
      <c r="K28" s="3"/>
      <c r="L28" s="3"/>
      <c r="M28" s="3"/>
      <c r="N28" s="3"/>
      <c r="O28" s="3"/>
      <c r="P28" s="7"/>
      <c r="Q28" s="4">
        <f t="shared" si="0"/>
        <v>0</v>
      </c>
      <c r="R28" s="3"/>
      <c r="S28" s="3"/>
      <c r="T28" s="3"/>
      <c r="V28" s="3"/>
      <c r="W28" s="3"/>
      <c r="X28" s="3"/>
      <c r="Y28" s="3"/>
      <c r="Z28" s="3"/>
      <c r="AB28" s="5"/>
      <c r="AC28" s="6"/>
      <c r="AD28" s="3"/>
      <c r="AE28" s="3"/>
      <c r="AF28" s="3"/>
      <c r="AG28" s="3">
        <f>(V28*B28)+(W28*C28)</f>
        <v>0</v>
      </c>
      <c r="AH28" s="3">
        <f>F28*X28</f>
        <v>0</v>
      </c>
      <c r="AI28" s="3">
        <f t="shared" si="3"/>
        <v>0</v>
      </c>
      <c r="AJ28" s="327"/>
    </row>
    <row r="29" spans="1:36" x14ac:dyDescent="0.3">
      <c r="A29" s="2">
        <f t="shared" si="4"/>
        <v>46322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7"/>
      <c r="Q29" s="4">
        <f t="shared" si="0"/>
        <v>0</v>
      </c>
      <c r="R29" s="3"/>
      <c r="S29" s="3"/>
      <c r="T29" s="3"/>
      <c r="V29" s="3"/>
      <c r="W29" s="3"/>
      <c r="X29" s="3"/>
      <c r="Y29" s="3"/>
      <c r="Z29" s="3"/>
      <c r="AB29" s="5"/>
      <c r="AC29" s="6"/>
      <c r="AD29" s="3"/>
      <c r="AE29" s="3"/>
      <c r="AF29" s="3"/>
      <c r="AG29" s="3">
        <f t="shared" si="1"/>
        <v>0</v>
      </c>
      <c r="AH29" s="3">
        <f t="shared" si="2"/>
        <v>0</v>
      </c>
      <c r="AI29" s="3">
        <f t="shared" si="3"/>
        <v>0</v>
      </c>
      <c r="AJ29" s="327"/>
    </row>
    <row r="30" spans="1:36" x14ac:dyDescent="0.3">
      <c r="A30" s="2">
        <f t="shared" si="4"/>
        <v>46323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7"/>
      <c r="Q30" s="4">
        <f t="shared" si="0"/>
        <v>0</v>
      </c>
      <c r="R30" s="3"/>
      <c r="S30" s="3"/>
      <c r="T30" s="3"/>
      <c r="V30" s="3"/>
      <c r="W30" s="3"/>
      <c r="X30" s="3"/>
      <c r="Y30" s="3"/>
      <c r="Z30" s="3"/>
      <c r="AB30" s="5"/>
      <c r="AC30" s="6"/>
      <c r="AD30" s="3"/>
      <c r="AE30" s="3"/>
      <c r="AF30" s="3"/>
      <c r="AG30" s="3">
        <f t="shared" si="1"/>
        <v>0</v>
      </c>
      <c r="AH30" s="3">
        <f t="shared" si="2"/>
        <v>0</v>
      </c>
      <c r="AI30" s="3">
        <f t="shared" si="3"/>
        <v>0</v>
      </c>
      <c r="AJ30" s="327"/>
    </row>
    <row r="31" spans="1:36" x14ac:dyDescent="0.3">
      <c r="A31" s="2">
        <f t="shared" si="4"/>
        <v>46324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7"/>
      <c r="Q31" s="4">
        <f t="shared" si="0"/>
        <v>0</v>
      </c>
      <c r="R31" s="3"/>
      <c r="S31" s="3"/>
      <c r="T31" s="3"/>
      <c r="V31" s="3"/>
      <c r="W31" s="3"/>
      <c r="X31" s="3"/>
      <c r="Y31" s="3"/>
      <c r="Z31" s="3"/>
      <c r="AB31" s="12"/>
      <c r="AC31" s="13"/>
      <c r="AD31" s="3"/>
      <c r="AE31" s="3"/>
      <c r="AF31" s="3"/>
      <c r="AG31" s="3">
        <f t="shared" si="1"/>
        <v>0</v>
      </c>
      <c r="AH31" s="3">
        <f t="shared" si="2"/>
        <v>0</v>
      </c>
      <c r="AI31" s="3">
        <f t="shared" si="3"/>
        <v>0</v>
      </c>
      <c r="AJ31" s="327"/>
    </row>
    <row r="32" spans="1:36" x14ac:dyDescent="0.3">
      <c r="A32" s="2">
        <f t="shared" si="4"/>
        <v>46325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7"/>
      <c r="Q32" s="4">
        <f t="shared" si="0"/>
        <v>0</v>
      </c>
      <c r="R32" s="3"/>
      <c r="S32" s="3"/>
      <c r="T32" s="3"/>
      <c r="V32" s="3"/>
      <c r="W32" s="3"/>
      <c r="X32" s="3"/>
      <c r="Y32" s="3"/>
      <c r="Z32" s="3"/>
      <c r="AB32" s="12"/>
      <c r="AC32" s="13"/>
      <c r="AD32" s="3"/>
      <c r="AE32" s="3"/>
      <c r="AF32" s="3"/>
      <c r="AG32" s="3">
        <f t="shared" si="1"/>
        <v>0</v>
      </c>
      <c r="AH32" s="3">
        <f t="shared" si="2"/>
        <v>0</v>
      </c>
      <c r="AI32" s="3">
        <f t="shared" si="3"/>
        <v>0</v>
      </c>
      <c r="AJ32" s="327"/>
    </row>
    <row r="33" spans="1:36" x14ac:dyDescent="0.3">
      <c r="A33" s="2">
        <f t="shared" si="4"/>
        <v>46326</v>
      </c>
      <c r="B33" s="3">
        <f>SUM(B3:B32)</f>
        <v>0</v>
      </c>
      <c r="C33" s="3">
        <v>0</v>
      </c>
      <c r="D33" s="3">
        <v>0</v>
      </c>
      <c r="E33" s="3"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7"/>
      <c r="Q33" s="4">
        <f>SUM(B33:P33)</f>
        <v>0</v>
      </c>
      <c r="R33" s="3"/>
      <c r="S33" s="3"/>
      <c r="T33" s="3"/>
      <c r="V33" s="3"/>
      <c r="W33" s="3"/>
      <c r="X33" s="3"/>
      <c r="Y33" s="3"/>
      <c r="Z33" s="3"/>
      <c r="AB33" s="12"/>
      <c r="AC33" s="13"/>
      <c r="AD33" s="3"/>
      <c r="AE33" s="3"/>
      <c r="AF33" s="3"/>
      <c r="AG33" s="3">
        <f t="shared" si="1"/>
        <v>0</v>
      </c>
      <c r="AH33" s="3">
        <f t="shared" si="2"/>
        <v>0</v>
      </c>
      <c r="AI33" s="3">
        <f t="shared" si="3"/>
        <v>0</v>
      </c>
      <c r="AJ33" s="327"/>
    </row>
    <row r="34" spans="1:36" ht="15" thickBot="1" x14ac:dyDescent="0.35">
      <c r="A34" s="14" t="s">
        <v>16</v>
      </c>
      <c r="B34" s="15">
        <f>SUM(B3:B33)</f>
        <v>0</v>
      </c>
      <c r="C34" s="15">
        <f>SUM(C3:C33)</f>
        <v>805.21</v>
      </c>
      <c r="D34" s="15">
        <f>SUM(D3:D33)</f>
        <v>681.36</v>
      </c>
      <c r="E34" s="15">
        <f t="shared" ref="E34" si="5">SUM(E3:E32)</f>
        <v>141.85</v>
      </c>
      <c r="F34" s="15">
        <f>SUM(F3:F33)</f>
        <v>1701.9299999999998</v>
      </c>
      <c r="G34" s="15">
        <f>SUM(G3:G33)</f>
        <v>4202.05</v>
      </c>
      <c r="H34" s="15">
        <f>SUM(H3:H33)</f>
        <v>283.08</v>
      </c>
      <c r="I34" s="16">
        <f t="shared" ref="I34:T34" si="6">SUM(I3:I33)</f>
        <v>0</v>
      </c>
      <c r="J34" s="16">
        <f t="shared" si="6"/>
        <v>85.81</v>
      </c>
      <c r="K34" s="16">
        <f t="shared" si="6"/>
        <v>0</v>
      </c>
      <c r="L34" s="16">
        <f t="shared" si="6"/>
        <v>0</v>
      </c>
      <c r="M34" s="16">
        <f t="shared" si="6"/>
        <v>0</v>
      </c>
      <c r="N34" s="16">
        <f t="shared" si="6"/>
        <v>7.6999999999999993</v>
      </c>
      <c r="O34" s="16">
        <f t="shared" si="6"/>
        <v>157.63</v>
      </c>
      <c r="P34" s="17">
        <f t="shared" si="6"/>
        <v>0</v>
      </c>
      <c r="Q34" s="17">
        <f t="shared" si="6"/>
        <v>8066.619999999999</v>
      </c>
      <c r="R34" s="15">
        <f t="shared" si="6"/>
        <v>87.72999999999999</v>
      </c>
      <c r="S34" s="15">
        <f t="shared" si="6"/>
        <v>66.009999999999991</v>
      </c>
      <c r="T34" s="16">
        <f t="shared" si="6"/>
        <v>0</v>
      </c>
      <c r="V34" s="16">
        <f>AVERAGE(V3:V33)</f>
        <v>0</v>
      </c>
      <c r="W34" s="16">
        <f>AVERAGE(W3:W33)</f>
        <v>44.035624999999996</v>
      </c>
      <c r="X34" s="16">
        <f>AVERAGE(X3:X33)</f>
        <v>78.808749999999989</v>
      </c>
      <c r="Y34" s="16">
        <f>AVERAGE(Y3:Y33)</f>
        <v>67.119374999999991</v>
      </c>
      <c r="Z34" s="16">
        <f>AVERAGE(Z3:Z33)</f>
        <v>8.6950000000000003</v>
      </c>
      <c r="AB34" s="18">
        <f>SUM(AB3:AB33)</f>
        <v>13.208333333333334</v>
      </c>
      <c r="AC34" s="19">
        <f>SUM(AC3:AC33)</f>
        <v>3170</v>
      </c>
      <c r="AD34" s="20">
        <f>AVERAGE(AD3:AD33)</f>
        <v>12.91</v>
      </c>
      <c r="AE34" s="16">
        <f>SUM(AE3:AE33)</f>
        <v>104500</v>
      </c>
      <c r="AF34" s="16">
        <f>SUM(AF3:AF33)</f>
        <v>82600</v>
      </c>
      <c r="AG34" s="16">
        <f>SUM(AG3:AG33)</f>
        <v>63044.341899999999</v>
      </c>
      <c r="AH34" s="16">
        <f>SUM(AH3:AH33)</f>
        <v>134228.29800000001</v>
      </c>
      <c r="AI34" s="16">
        <f>SUM(AI3:AI33)</f>
        <v>62146.781599999995</v>
      </c>
      <c r="AJ34" s="327"/>
    </row>
    <row r="35" spans="1:36" x14ac:dyDescent="0.3">
      <c r="D35" s="21"/>
      <c r="K35" s="22"/>
      <c r="V35" s="78">
        <f>SUM(V3:V34)</f>
        <v>0</v>
      </c>
      <c r="AG35" s="23"/>
      <c r="AH35" s="23"/>
      <c r="AI35" s="23"/>
    </row>
    <row r="36" spans="1:36" x14ac:dyDescent="0.3">
      <c r="E36" s="21"/>
      <c r="G36" s="24">
        <f>(G34+J34)</f>
        <v>4287.8600000000006</v>
      </c>
      <c r="H36" s="24">
        <f>H34+N34</f>
        <v>290.77999999999997</v>
      </c>
      <c r="J36" s="25"/>
      <c r="K36" s="21"/>
      <c r="N36" s="26"/>
      <c r="AF36" s="21"/>
      <c r="AG36" s="27">
        <f>AG34/(B34+C34)</f>
        <v>78.295527750524698</v>
      </c>
      <c r="AH36" s="27">
        <f>AH34/F34</f>
        <v>78.868283654439381</v>
      </c>
      <c r="AI36" s="27">
        <f>AI34/(D34+E34)</f>
        <v>75.493229674080723</v>
      </c>
    </row>
    <row r="37" spans="1:36" x14ac:dyDescent="0.3">
      <c r="B37" s="21"/>
      <c r="D37" s="21"/>
      <c r="E37" s="21"/>
      <c r="F37" s="28"/>
      <c r="G37" s="21"/>
      <c r="T37" s="29"/>
    </row>
    <row r="38" spans="1:36" x14ac:dyDescent="0.3">
      <c r="T38" s="29"/>
      <c r="AC38" t="s">
        <v>37</v>
      </c>
    </row>
    <row r="39" spans="1:36" x14ac:dyDescent="0.3">
      <c r="D39" s="21">
        <f>B34+D34+F34+C34</f>
        <v>3188.5</v>
      </c>
      <c r="G39" s="26"/>
      <c r="I39" s="21"/>
      <c r="J39" s="21"/>
      <c r="K39" s="21"/>
      <c r="T39" s="29"/>
    </row>
    <row r="41" spans="1:36" x14ac:dyDescent="0.3">
      <c r="H41" s="21"/>
    </row>
  </sheetData>
  <mergeCells count="29">
    <mergeCell ref="AB1:AC1"/>
    <mergeCell ref="AE1:AF1"/>
    <mergeCell ref="AG1:AG2"/>
    <mergeCell ref="AH1:AH2"/>
    <mergeCell ref="AI1:AI2"/>
    <mergeCell ref="Z1:Z2"/>
    <mergeCell ref="M1:M2"/>
    <mergeCell ref="N1:N2"/>
    <mergeCell ref="O1:O2"/>
    <mergeCell ref="P1:P2"/>
    <mergeCell ref="R1:R2"/>
    <mergeCell ref="S1:S2"/>
    <mergeCell ref="T1:T2"/>
    <mergeCell ref="V1:V2"/>
    <mergeCell ref="W1:W2"/>
    <mergeCell ref="X1:X2"/>
    <mergeCell ref="Y1:Y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51A2-85C8-49B8-A417-E7B2CDCB9D77}">
  <dimension ref="A1:AG40"/>
  <sheetViews>
    <sheetView topLeftCell="M1" workbookViewId="0">
      <pane ySplit="3" topLeftCell="A4" activePane="bottomLeft" state="frozen"/>
      <selection pane="bottomLeft" activeCell="AE19" sqref="AE19"/>
    </sheetView>
  </sheetViews>
  <sheetFormatPr defaultRowHeight="14.4" x14ac:dyDescent="0.3"/>
  <cols>
    <col min="1" max="1" width="7" bestFit="1" customWidth="1"/>
    <col min="2" max="2" width="10.33203125" bestFit="1" customWidth="1"/>
    <col min="3" max="3" width="10.88671875" customWidth="1"/>
    <col min="4" max="4" width="11.109375" customWidth="1"/>
    <col min="5" max="5" width="10.5546875" bestFit="1" customWidth="1"/>
    <col min="6" max="6" width="10.88671875" customWidth="1"/>
    <col min="7" max="7" width="11" bestFit="1" customWidth="1"/>
    <col min="8" max="8" width="8.6640625" bestFit="1" customWidth="1"/>
    <col min="9" max="9" width="9.6640625" bestFit="1" customWidth="1"/>
    <col min="10" max="11" width="9.44140625" bestFit="1" customWidth="1"/>
    <col min="12" max="13" width="9.33203125" customWidth="1"/>
    <col min="14" max="14" width="10.5546875" bestFit="1" customWidth="1"/>
    <col min="15" max="15" width="9.33203125" style="58" bestFit="1" customWidth="1"/>
    <col min="16" max="16" width="7.6640625" style="58" bestFit="1" customWidth="1"/>
    <col min="17" max="17" width="8.33203125" style="58" bestFit="1" customWidth="1"/>
    <col min="18" max="18" width="8.44140625" style="58" bestFit="1" customWidth="1"/>
    <col min="19" max="19" width="12.44140625" customWidth="1"/>
    <col min="20" max="21" width="14" customWidth="1"/>
    <col min="22" max="22" width="12" customWidth="1"/>
    <col min="23" max="23" width="8.44140625" bestFit="1" customWidth="1"/>
    <col min="24" max="24" width="9.33203125" customWidth="1"/>
    <col min="25" max="25" width="11.5546875" bestFit="1" customWidth="1"/>
    <col min="26" max="27" width="10.33203125" customWidth="1"/>
    <col min="28" max="28" width="12.5546875" bestFit="1" customWidth="1"/>
    <col min="29" max="29" width="11.109375" bestFit="1" customWidth="1"/>
    <col min="30" max="30" width="10.109375" bestFit="1" customWidth="1"/>
  </cols>
  <sheetData>
    <row r="1" spans="1:33" ht="18" x14ac:dyDescent="0.3">
      <c r="A1" s="409" t="s">
        <v>38</v>
      </c>
      <c r="B1" s="410"/>
      <c r="C1" s="410"/>
      <c r="D1" s="410"/>
      <c r="E1" s="410"/>
      <c r="F1" s="410"/>
      <c r="G1" s="410"/>
      <c r="H1" s="410"/>
      <c r="I1" s="410"/>
      <c r="J1" s="30"/>
      <c r="K1" s="30"/>
      <c r="L1" s="30"/>
      <c r="M1" s="30"/>
      <c r="N1" s="30"/>
      <c r="O1" s="30"/>
      <c r="P1" s="30"/>
      <c r="Q1" s="30"/>
      <c r="R1" s="30"/>
      <c r="S1" s="413">
        <f>[1]monthly!L26</f>
        <v>389.84742987042671</v>
      </c>
      <c r="T1" s="410" t="s">
        <v>39</v>
      </c>
      <c r="U1" s="325"/>
      <c r="V1" s="30"/>
      <c r="W1" s="30"/>
      <c r="X1" s="30"/>
      <c r="Y1" s="30"/>
      <c r="Z1" s="30"/>
      <c r="AA1" s="30"/>
      <c r="AB1" s="30"/>
      <c r="AC1" s="30"/>
      <c r="AD1" s="30"/>
    </row>
    <row r="2" spans="1:33" ht="18" x14ac:dyDescent="0.3">
      <c r="A2" s="411"/>
      <c r="B2" s="412"/>
      <c r="C2" s="412"/>
      <c r="D2" s="412"/>
      <c r="E2" s="412"/>
      <c r="F2" s="412"/>
      <c r="G2" s="412"/>
      <c r="H2" s="412"/>
      <c r="I2" s="412"/>
      <c r="J2" s="31"/>
      <c r="K2" s="31"/>
      <c r="L2" s="31"/>
      <c r="M2" s="31"/>
      <c r="N2" s="31"/>
      <c r="O2" s="31"/>
      <c r="P2" s="31"/>
      <c r="Q2" s="31"/>
      <c r="R2" s="31"/>
      <c r="S2" s="414"/>
      <c r="T2" s="412"/>
      <c r="U2" s="326"/>
      <c r="V2" s="31"/>
      <c r="W2" s="31"/>
      <c r="X2" s="31"/>
      <c r="Y2" s="31"/>
      <c r="Z2" s="31"/>
      <c r="AA2" s="31"/>
      <c r="AB2" s="31"/>
      <c r="AC2" s="31"/>
      <c r="AD2" s="31"/>
    </row>
    <row r="3" spans="1:33" s="35" customFormat="1" ht="43.2" x14ac:dyDescent="0.3">
      <c r="A3" s="32" t="s">
        <v>0</v>
      </c>
      <c r="B3" s="32" t="s">
        <v>40</v>
      </c>
      <c r="C3" s="32" t="s">
        <v>41</v>
      </c>
      <c r="D3" s="32" t="s">
        <v>42</v>
      </c>
      <c r="E3" s="32" t="s">
        <v>43</v>
      </c>
      <c r="F3" s="32" t="s">
        <v>44</v>
      </c>
      <c r="G3" s="32" t="s">
        <v>45</v>
      </c>
      <c r="H3" s="32" t="s">
        <v>46</v>
      </c>
      <c r="I3" s="324" t="s">
        <v>47</v>
      </c>
      <c r="J3" s="32" t="s">
        <v>48</v>
      </c>
      <c r="K3" s="32" t="s">
        <v>13</v>
      </c>
      <c r="L3" s="33" t="s">
        <v>8</v>
      </c>
      <c r="M3" s="32" t="s">
        <v>49</v>
      </c>
      <c r="N3" s="32" t="s">
        <v>10</v>
      </c>
      <c r="O3" s="32" t="s">
        <v>11</v>
      </c>
      <c r="P3" s="32" t="s">
        <v>12</v>
      </c>
      <c r="Q3" s="32" t="s">
        <v>17</v>
      </c>
      <c r="R3" s="32" t="s">
        <v>50</v>
      </c>
      <c r="S3" s="32" t="s">
        <v>16</v>
      </c>
      <c r="T3" s="32" t="s">
        <v>51</v>
      </c>
      <c r="U3" s="32" t="s">
        <v>17</v>
      </c>
      <c r="V3" s="32" t="s">
        <v>52</v>
      </c>
      <c r="W3" s="32" t="s">
        <v>53</v>
      </c>
      <c r="X3" s="32" t="s">
        <v>54</v>
      </c>
      <c r="Y3" s="34" t="s">
        <v>55</v>
      </c>
      <c r="Z3" s="34" t="s">
        <v>56</v>
      </c>
      <c r="AA3" s="34" t="s">
        <v>57</v>
      </c>
      <c r="AB3" s="34" t="s">
        <v>58</v>
      </c>
      <c r="AC3" s="34" t="s">
        <v>59</v>
      </c>
      <c r="AD3" s="34" t="s">
        <v>60</v>
      </c>
    </row>
    <row r="4" spans="1:33" x14ac:dyDescent="0.3">
      <c r="A4" s="36">
        <v>46296</v>
      </c>
      <c r="B4" s="37">
        <v>0</v>
      </c>
      <c r="C4" s="37">
        <v>75</v>
      </c>
      <c r="D4" s="37">
        <v>10</v>
      </c>
      <c r="E4" s="37">
        <v>30</v>
      </c>
      <c r="F4" s="37">
        <v>114</v>
      </c>
      <c r="G4" s="37">
        <v>194</v>
      </c>
      <c r="H4" s="37">
        <v>10</v>
      </c>
      <c r="I4" s="37">
        <v>0</v>
      </c>
      <c r="J4" s="37">
        <v>10</v>
      </c>
      <c r="K4" s="37">
        <v>19.309999999999999</v>
      </c>
      <c r="L4" s="37">
        <v>0</v>
      </c>
      <c r="M4" s="37">
        <v>8</v>
      </c>
      <c r="N4" s="37">
        <v>0</v>
      </c>
      <c r="O4" s="37">
        <v>0</v>
      </c>
      <c r="P4" s="37">
        <v>0</v>
      </c>
      <c r="Q4" s="37">
        <v>0</v>
      </c>
      <c r="R4" s="38">
        <v>0</v>
      </c>
      <c r="S4" s="11">
        <f>SUM(B4:R4)</f>
        <v>470.31</v>
      </c>
      <c r="T4" s="11">
        <v>403.62200000000001</v>
      </c>
      <c r="U4" s="39">
        <v>5.37</v>
      </c>
      <c r="V4" s="40">
        <v>0</v>
      </c>
      <c r="W4" s="11">
        <f>+T4/S4*100</f>
        <v>85.820416321149878</v>
      </c>
      <c r="X4" s="11">
        <v>12</v>
      </c>
      <c r="Y4" s="11">
        <v>0.61</v>
      </c>
      <c r="Z4" s="11">
        <v>0</v>
      </c>
      <c r="AA4" s="46">
        <v>1.5</v>
      </c>
      <c r="AB4" s="41">
        <v>264272</v>
      </c>
      <c r="AC4" s="41">
        <v>25182</v>
      </c>
      <c r="AD4" s="42">
        <v>3676</v>
      </c>
      <c r="AE4" s="43">
        <f>AD4/Recieving!AC3</f>
        <v>16.709090909090911</v>
      </c>
      <c r="AF4" s="44"/>
    </row>
    <row r="5" spans="1:33" x14ac:dyDescent="0.3">
      <c r="A5" s="36">
        <f>+A4+1</f>
        <v>46297</v>
      </c>
      <c r="B5" s="37">
        <v>0</v>
      </c>
      <c r="C5" s="37">
        <v>68</v>
      </c>
      <c r="D5" s="37">
        <v>22.5</v>
      </c>
      <c r="E5" s="37">
        <v>22.5</v>
      </c>
      <c r="F5" s="37">
        <v>127</v>
      </c>
      <c r="G5" s="37">
        <v>208</v>
      </c>
      <c r="H5" s="37">
        <v>10</v>
      </c>
      <c r="I5" s="37">
        <v>0</v>
      </c>
      <c r="J5" s="37">
        <v>12</v>
      </c>
      <c r="K5" s="37">
        <v>0</v>
      </c>
      <c r="L5" s="37">
        <v>0</v>
      </c>
      <c r="M5" s="37">
        <v>3</v>
      </c>
      <c r="N5" s="37">
        <v>0</v>
      </c>
      <c r="O5" s="37">
        <v>2</v>
      </c>
      <c r="P5" s="37">
        <v>0</v>
      </c>
      <c r="Q5" s="37">
        <v>0</v>
      </c>
      <c r="R5" s="38">
        <v>0</v>
      </c>
      <c r="S5" s="11">
        <f t="shared" ref="S5:S34" si="0">SUM(B5:R5)</f>
        <v>475</v>
      </c>
      <c r="T5" s="11">
        <v>407.327</v>
      </c>
      <c r="U5" s="39">
        <v>3.07</v>
      </c>
      <c r="V5" s="45">
        <v>90.69</v>
      </c>
      <c r="W5" s="11">
        <f>+T5/S5*100</f>
        <v>85.753052631578953</v>
      </c>
      <c r="X5" s="11">
        <v>12</v>
      </c>
      <c r="Y5" s="11">
        <v>0.5</v>
      </c>
      <c r="Z5" s="11">
        <v>9.5299999999999994</v>
      </c>
      <c r="AA5" s="46">
        <v>1</v>
      </c>
      <c r="AB5" s="41">
        <v>268056</v>
      </c>
      <c r="AC5" s="41">
        <v>23124</v>
      </c>
      <c r="AD5" s="42">
        <v>2730</v>
      </c>
      <c r="AE5" s="43">
        <f>AD5/Recieving!AC4</f>
        <v>15.166666666666666</v>
      </c>
      <c r="AF5" s="44"/>
    </row>
    <row r="6" spans="1:33" x14ac:dyDescent="0.3">
      <c r="A6" s="36">
        <f t="shared" ref="A6:A32" si="1">+A5+1</f>
        <v>46298</v>
      </c>
      <c r="B6" s="37">
        <v>0</v>
      </c>
      <c r="C6" s="37">
        <v>65</v>
      </c>
      <c r="D6" s="37">
        <v>26</v>
      </c>
      <c r="E6" s="37">
        <v>26</v>
      </c>
      <c r="F6" s="37">
        <v>112</v>
      </c>
      <c r="G6" s="37">
        <v>224</v>
      </c>
      <c r="H6" s="37">
        <v>7</v>
      </c>
      <c r="I6" s="37">
        <v>0</v>
      </c>
      <c r="J6" s="37">
        <v>12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8">
        <v>0</v>
      </c>
      <c r="S6" s="11">
        <f t="shared" si="0"/>
        <v>472</v>
      </c>
      <c r="T6" s="11">
        <v>408.76499999999999</v>
      </c>
      <c r="U6" s="39">
        <v>5.0999999999999996</v>
      </c>
      <c r="V6" s="45">
        <v>81.73</v>
      </c>
      <c r="W6" s="11">
        <f>+T6/S6*100</f>
        <v>86.602754237288138</v>
      </c>
      <c r="X6" s="11">
        <v>12</v>
      </c>
      <c r="Y6" s="11">
        <v>0.46</v>
      </c>
      <c r="Z6" s="11">
        <v>7.35</v>
      </c>
      <c r="AA6" s="46">
        <v>1</v>
      </c>
      <c r="AB6" s="41">
        <v>264594</v>
      </c>
      <c r="AC6" s="41">
        <v>23009</v>
      </c>
      <c r="AD6" s="42">
        <v>2626</v>
      </c>
      <c r="AE6" s="43">
        <f>AD6/Recieving!AC5</f>
        <v>13.821052631578947</v>
      </c>
      <c r="AF6" s="44"/>
    </row>
    <row r="7" spans="1:33" x14ac:dyDescent="0.3">
      <c r="A7" s="36">
        <f t="shared" si="1"/>
        <v>46299</v>
      </c>
      <c r="B7" s="37">
        <v>0</v>
      </c>
      <c r="C7" s="37">
        <v>68</v>
      </c>
      <c r="D7" s="37">
        <v>25</v>
      </c>
      <c r="E7" s="37">
        <v>25</v>
      </c>
      <c r="F7" s="37">
        <v>120</v>
      </c>
      <c r="G7" s="37">
        <v>215</v>
      </c>
      <c r="H7" s="37">
        <v>6</v>
      </c>
      <c r="I7" s="37">
        <v>0</v>
      </c>
      <c r="J7" s="37">
        <v>15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8">
        <v>0</v>
      </c>
      <c r="S7" s="11">
        <f t="shared" si="0"/>
        <v>474</v>
      </c>
      <c r="T7" s="11">
        <v>407.29599999999999</v>
      </c>
      <c r="U7" s="39">
        <v>6.64</v>
      </c>
      <c r="V7" s="45">
        <v>129.69999999999999</v>
      </c>
      <c r="W7" s="11">
        <f>+T7/S7*100</f>
        <v>85.927426160337546</v>
      </c>
      <c r="X7" s="11">
        <v>12</v>
      </c>
      <c r="Y7" s="37">
        <v>0.45</v>
      </c>
      <c r="Z7" s="11">
        <v>3.86</v>
      </c>
      <c r="AA7" s="46">
        <v>1</v>
      </c>
      <c r="AB7" s="41">
        <v>266489</v>
      </c>
      <c r="AC7" s="41">
        <v>23980</v>
      </c>
      <c r="AD7" s="42">
        <v>3155</v>
      </c>
      <c r="AE7" s="43">
        <f>AD7/Recieving!AC6</f>
        <v>15.775</v>
      </c>
      <c r="AF7" s="44"/>
    </row>
    <row r="8" spans="1:33" x14ac:dyDescent="0.3">
      <c r="A8" s="36">
        <f t="shared" si="1"/>
        <v>46300</v>
      </c>
      <c r="B8" s="37"/>
      <c r="C8" s="37">
        <v>70</v>
      </c>
      <c r="D8" s="37">
        <v>20</v>
      </c>
      <c r="E8" s="37">
        <v>20</v>
      </c>
      <c r="F8" s="37">
        <v>110</v>
      </c>
      <c r="G8" s="37">
        <v>230</v>
      </c>
      <c r="H8" s="37">
        <v>12</v>
      </c>
      <c r="I8" s="37">
        <v>0</v>
      </c>
      <c r="J8" s="37">
        <v>20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8">
        <v>0</v>
      </c>
      <c r="S8" s="11">
        <f t="shared" si="0"/>
        <v>482</v>
      </c>
      <c r="T8" s="11">
        <v>416.40499999999997</v>
      </c>
      <c r="U8" s="39">
        <v>6.05</v>
      </c>
      <c r="V8" s="45">
        <v>68.87</v>
      </c>
      <c r="W8" s="11">
        <f>+T8/S8*100</f>
        <v>86.39107883817428</v>
      </c>
      <c r="X8" s="11">
        <v>12</v>
      </c>
      <c r="Y8" s="11">
        <v>0.53</v>
      </c>
      <c r="Z8" s="11">
        <v>2.79</v>
      </c>
      <c r="AA8" s="46">
        <v>1</v>
      </c>
      <c r="AB8" s="41">
        <v>269485</v>
      </c>
      <c r="AC8" s="41">
        <v>23612</v>
      </c>
      <c r="AD8" s="42">
        <v>3240</v>
      </c>
      <c r="AE8" s="43">
        <f>AD8/Recieving!AC7</f>
        <v>14.727272727272727</v>
      </c>
      <c r="AF8" s="44"/>
    </row>
    <row r="9" spans="1:33" x14ac:dyDescent="0.3">
      <c r="A9" s="36">
        <f t="shared" si="1"/>
        <v>46301</v>
      </c>
      <c r="B9" s="37">
        <v>0</v>
      </c>
      <c r="C9" s="37">
        <v>75</v>
      </c>
      <c r="D9" s="37">
        <v>22.5</v>
      </c>
      <c r="E9" s="37">
        <v>22.5</v>
      </c>
      <c r="F9" s="37">
        <v>100</v>
      </c>
      <c r="G9" s="37">
        <v>235</v>
      </c>
      <c r="H9" s="37">
        <v>10</v>
      </c>
      <c r="I9" s="37">
        <v>0</v>
      </c>
      <c r="J9" s="37">
        <v>10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8">
        <v>0</v>
      </c>
      <c r="S9" s="11">
        <f t="shared" si="0"/>
        <v>475</v>
      </c>
      <c r="T9" s="11">
        <v>410.06799999999998</v>
      </c>
      <c r="U9" s="39">
        <v>6.07</v>
      </c>
      <c r="V9" s="45">
        <v>83.49</v>
      </c>
      <c r="W9" s="11">
        <f t="shared" ref="W9:W34" si="2">+T9/S9*100</f>
        <v>86.33010526315789</v>
      </c>
      <c r="X9" s="11">
        <v>12</v>
      </c>
      <c r="Y9" s="11">
        <v>0.65</v>
      </c>
      <c r="Z9" s="11">
        <v>2.8</v>
      </c>
      <c r="AA9" s="46">
        <v>1</v>
      </c>
      <c r="AB9" s="41">
        <v>265167</v>
      </c>
      <c r="AC9" s="41">
        <v>22547</v>
      </c>
      <c r="AD9" s="42">
        <v>3917</v>
      </c>
      <c r="AE9" s="43">
        <f>AD9/Recieving!AC8</f>
        <v>17.804545454545455</v>
      </c>
      <c r="AF9" s="44"/>
    </row>
    <row r="10" spans="1:33" x14ac:dyDescent="0.3">
      <c r="A10" s="36">
        <f t="shared" si="1"/>
        <v>46302</v>
      </c>
      <c r="B10" s="37"/>
      <c r="C10" s="37">
        <v>65</v>
      </c>
      <c r="D10" s="37">
        <v>25</v>
      </c>
      <c r="E10" s="37">
        <v>35</v>
      </c>
      <c r="F10" s="37">
        <v>100</v>
      </c>
      <c r="G10" s="37">
        <v>235</v>
      </c>
      <c r="H10" s="37">
        <v>5</v>
      </c>
      <c r="I10" s="37">
        <v>0</v>
      </c>
      <c r="J10" s="37">
        <v>15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8">
        <v>0</v>
      </c>
      <c r="S10" s="11">
        <f t="shared" si="0"/>
        <v>480</v>
      </c>
      <c r="T10" s="11">
        <v>412.89499999999998</v>
      </c>
      <c r="U10" s="39">
        <v>5.52</v>
      </c>
      <c r="V10" s="45">
        <v>62.25</v>
      </c>
      <c r="W10" s="11">
        <f t="shared" si="2"/>
        <v>86.019791666666663</v>
      </c>
      <c r="X10" s="11">
        <v>12</v>
      </c>
      <c r="Y10" s="37">
        <v>0.55000000000000004</v>
      </c>
      <c r="Z10" s="11">
        <v>0</v>
      </c>
      <c r="AA10" s="316">
        <v>1</v>
      </c>
      <c r="AB10" s="41">
        <v>265083</v>
      </c>
      <c r="AC10" s="41">
        <v>24448</v>
      </c>
      <c r="AD10" s="42">
        <v>3728</v>
      </c>
      <c r="AE10" s="43">
        <f>AD10/Recieving!AC9</f>
        <v>16.945454545454545</v>
      </c>
      <c r="AF10" s="44"/>
    </row>
    <row r="11" spans="1:33" x14ac:dyDescent="0.3">
      <c r="A11" s="36">
        <f t="shared" si="1"/>
        <v>46303</v>
      </c>
      <c r="B11" s="37">
        <v>0</v>
      </c>
      <c r="C11" s="37">
        <v>60</v>
      </c>
      <c r="D11" s="37">
        <v>31</v>
      </c>
      <c r="E11" s="37">
        <v>31</v>
      </c>
      <c r="F11" s="37">
        <v>110</v>
      </c>
      <c r="G11" s="37">
        <v>232</v>
      </c>
      <c r="H11" s="37">
        <v>5</v>
      </c>
      <c r="I11" s="37">
        <v>0</v>
      </c>
      <c r="J11" s="37">
        <v>15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8">
        <v>0</v>
      </c>
      <c r="S11" s="11">
        <f t="shared" si="0"/>
        <v>484</v>
      </c>
      <c r="T11" s="11">
        <v>414.60599999999999</v>
      </c>
      <c r="U11" s="39">
        <v>3.9</v>
      </c>
      <c r="V11" s="45">
        <v>79.75</v>
      </c>
      <c r="W11" s="11">
        <f t="shared" si="2"/>
        <v>85.662396694214877</v>
      </c>
      <c r="X11" s="11">
        <v>12</v>
      </c>
      <c r="Y11" s="11">
        <v>0.71</v>
      </c>
      <c r="Z11" s="11">
        <v>4.33</v>
      </c>
      <c r="AA11" s="316">
        <v>2</v>
      </c>
      <c r="AB11" s="42">
        <v>271922</v>
      </c>
      <c r="AC11" s="41">
        <v>24235</v>
      </c>
      <c r="AD11" s="42">
        <v>2699</v>
      </c>
      <c r="AE11" s="43">
        <f>AD11/Recieving!AC10</f>
        <v>14.994444444444444</v>
      </c>
      <c r="AF11" s="44"/>
    </row>
    <row r="12" spans="1:33" x14ac:dyDescent="0.3">
      <c r="A12" s="36">
        <f t="shared" si="1"/>
        <v>46304</v>
      </c>
      <c r="B12" s="37">
        <v>0</v>
      </c>
      <c r="C12" s="37">
        <v>60</v>
      </c>
      <c r="D12" s="37">
        <v>32</v>
      </c>
      <c r="E12" s="37">
        <v>33</v>
      </c>
      <c r="F12" s="37">
        <v>102</v>
      </c>
      <c r="G12" s="37">
        <v>228</v>
      </c>
      <c r="H12" s="37">
        <v>5</v>
      </c>
      <c r="I12" s="37">
        <v>0</v>
      </c>
      <c r="J12" s="37">
        <v>15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8">
        <v>0</v>
      </c>
      <c r="S12" s="11">
        <f t="shared" si="0"/>
        <v>475</v>
      </c>
      <c r="T12" s="11">
        <v>408.07400000000001</v>
      </c>
      <c r="U12" s="39">
        <v>5.87</v>
      </c>
      <c r="V12" s="45">
        <v>100.63</v>
      </c>
      <c r="W12" s="11">
        <f t="shared" si="2"/>
        <v>85.910315789473685</v>
      </c>
      <c r="X12" s="11">
        <v>12</v>
      </c>
      <c r="Y12" s="11">
        <v>0.64</v>
      </c>
      <c r="Z12" s="11">
        <v>2.67</v>
      </c>
      <c r="AA12" s="46">
        <v>4</v>
      </c>
      <c r="AB12" s="41">
        <v>264519</v>
      </c>
      <c r="AC12" s="41">
        <v>22791</v>
      </c>
      <c r="AD12" s="42">
        <v>3706</v>
      </c>
      <c r="AE12" s="43">
        <f>AD12/Recieving!AC11</f>
        <v>16.845454545454544</v>
      </c>
      <c r="AF12" s="44"/>
    </row>
    <row r="13" spans="1:33" x14ac:dyDescent="0.3">
      <c r="A13" s="36">
        <f t="shared" si="1"/>
        <v>46305</v>
      </c>
      <c r="B13" s="37">
        <v>0</v>
      </c>
      <c r="C13" s="37">
        <v>55</v>
      </c>
      <c r="D13" s="37">
        <v>25</v>
      </c>
      <c r="E13" s="37">
        <v>40</v>
      </c>
      <c r="F13" s="37">
        <v>108</v>
      </c>
      <c r="G13" s="37">
        <v>226</v>
      </c>
      <c r="H13" s="37">
        <v>5</v>
      </c>
      <c r="I13" s="37">
        <v>0</v>
      </c>
      <c r="J13" s="37">
        <v>14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8">
        <v>0</v>
      </c>
      <c r="S13" s="11">
        <f t="shared" si="0"/>
        <v>473</v>
      </c>
      <c r="T13" s="11">
        <v>407.29599999999999</v>
      </c>
      <c r="U13" s="39">
        <v>6.14</v>
      </c>
      <c r="V13" s="45">
        <v>102.88</v>
      </c>
      <c r="W13" s="11">
        <f t="shared" si="2"/>
        <v>86.109090909090909</v>
      </c>
      <c r="X13" s="11">
        <v>12</v>
      </c>
      <c r="Y13" s="11">
        <v>0.6</v>
      </c>
      <c r="Z13" s="11">
        <v>7.04</v>
      </c>
      <c r="AA13" s="46">
        <v>4</v>
      </c>
      <c r="AB13" s="41">
        <v>265538</v>
      </c>
      <c r="AC13" s="41">
        <v>23852</v>
      </c>
      <c r="AD13" s="42">
        <v>3169</v>
      </c>
      <c r="AE13" s="43">
        <f>AD13/Recieving!AC12</f>
        <v>15.09047619047619</v>
      </c>
      <c r="AF13" s="44"/>
    </row>
    <row r="14" spans="1:33" x14ac:dyDescent="0.3">
      <c r="A14" s="36">
        <f t="shared" si="1"/>
        <v>46306</v>
      </c>
      <c r="B14" s="37">
        <v>0</v>
      </c>
      <c r="C14" s="37">
        <v>67</v>
      </c>
      <c r="D14" s="37">
        <v>27</v>
      </c>
      <c r="E14" s="37">
        <v>28</v>
      </c>
      <c r="F14" s="37">
        <v>98</v>
      </c>
      <c r="G14" s="37">
        <v>228</v>
      </c>
      <c r="H14" s="37">
        <v>10</v>
      </c>
      <c r="I14" s="37">
        <v>0</v>
      </c>
      <c r="J14" s="37">
        <v>14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8">
        <v>0</v>
      </c>
      <c r="S14" s="11">
        <f t="shared" si="0"/>
        <v>472</v>
      </c>
      <c r="T14" s="11">
        <v>406.17500000000001</v>
      </c>
      <c r="U14" s="39">
        <v>5.52</v>
      </c>
      <c r="V14" s="45">
        <v>107.39</v>
      </c>
      <c r="W14" s="11">
        <f t="shared" si="2"/>
        <v>86.054025423728817</v>
      </c>
      <c r="X14" s="11">
        <v>12</v>
      </c>
      <c r="Y14" s="11">
        <v>0.61</v>
      </c>
      <c r="Z14" s="11">
        <v>3.13</v>
      </c>
      <c r="AA14" s="46">
        <v>4</v>
      </c>
      <c r="AB14" s="41">
        <v>265637</v>
      </c>
      <c r="AC14" s="41">
        <v>23560</v>
      </c>
      <c r="AD14" s="42">
        <v>3580</v>
      </c>
      <c r="AE14" s="43">
        <f>AD14/Recieving!AC13</f>
        <v>17.047619047619047</v>
      </c>
      <c r="AF14" s="44"/>
    </row>
    <row r="15" spans="1:33" x14ac:dyDescent="0.3">
      <c r="A15" s="36">
        <f t="shared" si="1"/>
        <v>46307</v>
      </c>
      <c r="B15" s="37"/>
      <c r="C15" s="37">
        <v>75</v>
      </c>
      <c r="D15" s="37">
        <v>27</v>
      </c>
      <c r="E15" s="37">
        <v>28</v>
      </c>
      <c r="F15" s="37">
        <v>100</v>
      </c>
      <c r="G15" s="37">
        <v>222</v>
      </c>
      <c r="H15" s="37">
        <v>8</v>
      </c>
      <c r="I15" s="37">
        <v>0</v>
      </c>
      <c r="J15" s="37">
        <v>10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8">
        <v>0</v>
      </c>
      <c r="S15" s="11">
        <f>SUM(B15:R15)</f>
        <v>470</v>
      </c>
      <c r="T15" s="11">
        <v>403.76499999999999</v>
      </c>
      <c r="U15" s="39">
        <v>5.88</v>
      </c>
      <c r="V15" s="45">
        <v>91.11</v>
      </c>
      <c r="W15" s="11">
        <f t="shared" si="2"/>
        <v>85.907446808510628</v>
      </c>
      <c r="X15" s="11">
        <v>12</v>
      </c>
      <c r="Y15" s="11">
        <v>0.36</v>
      </c>
      <c r="Z15" s="11">
        <v>7.04</v>
      </c>
      <c r="AA15" s="46">
        <v>4</v>
      </c>
      <c r="AB15" s="41">
        <v>263593</v>
      </c>
      <c r="AC15" s="41">
        <v>22743</v>
      </c>
      <c r="AD15" s="42">
        <v>2555</v>
      </c>
      <c r="AE15" s="43">
        <f>AD15/Recieving!AC14</f>
        <v>14.194444444444445</v>
      </c>
      <c r="AF15" s="44"/>
    </row>
    <row r="16" spans="1:33" x14ac:dyDescent="0.3">
      <c r="A16" s="36">
        <f t="shared" si="1"/>
        <v>46308</v>
      </c>
      <c r="B16" s="37"/>
      <c r="C16" s="37">
        <v>78</v>
      </c>
      <c r="D16" s="37">
        <v>27</v>
      </c>
      <c r="E16" s="37">
        <v>28</v>
      </c>
      <c r="F16" s="37">
        <v>95</v>
      </c>
      <c r="G16" s="37">
        <v>224</v>
      </c>
      <c r="H16" s="37">
        <v>10</v>
      </c>
      <c r="I16" s="37">
        <v>0</v>
      </c>
      <c r="J16" s="37">
        <v>10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8">
        <v>0</v>
      </c>
      <c r="S16" s="11">
        <f t="shared" si="0"/>
        <v>472</v>
      </c>
      <c r="T16" s="11">
        <v>404.76400000000001</v>
      </c>
      <c r="U16" s="39">
        <v>5.62</v>
      </c>
      <c r="V16" s="45">
        <v>19.12</v>
      </c>
      <c r="W16" s="11">
        <f t="shared" si="2"/>
        <v>85.755084745762716</v>
      </c>
      <c r="X16" s="11">
        <v>12</v>
      </c>
      <c r="Y16" s="11">
        <v>0.71</v>
      </c>
      <c r="Z16" s="11">
        <v>2.59</v>
      </c>
      <c r="AA16" s="46">
        <v>5</v>
      </c>
      <c r="AB16" s="41">
        <v>264964</v>
      </c>
      <c r="AC16" s="41">
        <v>22750</v>
      </c>
      <c r="AD16" s="42">
        <v>3378</v>
      </c>
      <c r="AE16" s="43">
        <f>AD16/Recieving!AC15</f>
        <v>16.085714285714285</v>
      </c>
      <c r="AF16" s="44"/>
      <c r="AG16" s="43"/>
    </row>
    <row r="17" spans="1:33" x14ac:dyDescent="0.3">
      <c r="A17" s="36">
        <f t="shared" si="1"/>
        <v>46309</v>
      </c>
      <c r="B17" s="37">
        <v>0</v>
      </c>
      <c r="C17" s="37">
        <v>76</v>
      </c>
      <c r="D17" s="37">
        <v>30</v>
      </c>
      <c r="E17" s="37">
        <v>30</v>
      </c>
      <c r="F17" s="37">
        <v>82</v>
      </c>
      <c r="G17" s="37">
        <v>222</v>
      </c>
      <c r="H17" s="37">
        <v>12</v>
      </c>
      <c r="I17" s="37">
        <v>0</v>
      </c>
      <c r="J17" s="37">
        <v>22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8">
        <v>0</v>
      </c>
      <c r="S17" s="11">
        <f t="shared" si="0"/>
        <v>474</v>
      </c>
      <c r="T17" s="11">
        <v>407.77600000000001</v>
      </c>
      <c r="U17" s="39">
        <v>4.9800000000000004</v>
      </c>
      <c r="V17" s="45">
        <v>113.89</v>
      </c>
      <c r="W17" s="11">
        <f t="shared" si="2"/>
        <v>86.028691983122357</v>
      </c>
      <c r="X17" s="11">
        <v>12</v>
      </c>
      <c r="Y17" s="11">
        <v>0.66</v>
      </c>
      <c r="Z17" s="11">
        <v>7.53</v>
      </c>
      <c r="AA17" s="46">
        <v>5</v>
      </c>
      <c r="AB17" s="41">
        <v>267725</v>
      </c>
      <c r="AC17" s="41">
        <v>25475</v>
      </c>
      <c r="AD17" s="42">
        <v>2706</v>
      </c>
      <c r="AE17" s="43">
        <f>AD17/Recieving!AC16</f>
        <v>12.885714285714286</v>
      </c>
      <c r="AF17" s="44"/>
    </row>
    <row r="18" spans="1:33" x14ac:dyDescent="0.3">
      <c r="A18" s="36">
        <f t="shared" si="1"/>
        <v>46310</v>
      </c>
      <c r="B18" s="37">
        <v>0</v>
      </c>
      <c r="C18" s="37">
        <v>75</v>
      </c>
      <c r="D18" s="37">
        <v>24</v>
      </c>
      <c r="E18" s="37">
        <v>24</v>
      </c>
      <c r="F18" s="37">
        <v>65</v>
      </c>
      <c r="G18" s="37">
        <v>165</v>
      </c>
      <c r="H18" s="37">
        <v>10</v>
      </c>
      <c r="I18" s="37">
        <v>0</v>
      </c>
      <c r="J18" s="37">
        <v>30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8">
        <v>0</v>
      </c>
      <c r="S18" s="11">
        <f t="shared" si="0"/>
        <v>393</v>
      </c>
      <c r="T18" s="11">
        <v>337.79700000000003</v>
      </c>
      <c r="U18" s="39">
        <v>6.23</v>
      </c>
      <c r="V18" s="45">
        <v>62.02</v>
      </c>
      <c r="W18" s="11">
        <f t="shared" si="2"/>
        <v>85.953435114503819</v>
      </c>
      <c r="X18" s="11">
        <v>10</v>
      </c>
      <c r="Y18" s="11">
        <v>0.33</v>
      </c>
      <c r="Z18" s="11">
        <v>2.62</v>
      </c>
      <c r="AA18" s="46">
        <v>4</v>
      </c>
      <c r="AB18" s="41">
        <v>229313</v>
      </c>
      <c r="AC18" s="41">
        <v>20823</v>
      </c>
      <c r="AD18" s="42">
        <v>3501</v>
      </c>
      <c r="AE18" s="43">
        <f>AD18/Recieving!AC17</f>
        <v>16.671428571428571</v>
      </c>
      <c r="AF18" s="44"/>
    </row>
    <row r="19" spans="1:33" x14ac:dyDescent="0.3">
      <c r="A19" s="36">
        <f t="shared" si="1"/>
        <v>46311</v>
      </c>
      <c r="B19" s="37">
        <v>0</v>
      </c>
      <c r="C19" s="37">
        <v>85</v>
      </c>
      <c r="D19" s="37">
        <v>27</v>
      </c>
      <c r="E19" s="37">
        <v>28</v>
      </c>
      <c r="F19" s="37">
        <v>90</v>
      </c>
      <c r="G19" s="37">
        <v>222</v>
      </c>
      <c r="H19" s="37">
        <v>5</v>
      </c>
      <c r="I19" s="37">
        <v>0</v>
      </c>
      <c r="J19" s="37">
        <v>20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8">
        <v>0</v>
      </c>
      <c r="S19" s="11">
        <f t="shared" si="0"/>
        <v>477</v>
      </c>
      <c r="T19" s="11">
        <v>409.07799999999997</v>
      </c>
      <c r="U19" s="39">
        <v>5.77</v>
      </c>
      <c r="V19" s="45">
        <v>119.05</v>
      </c>
      <c r="W19" s="11">
        <f t="shared" si="2"/>
        <v>85.760587002096429</v>
      </c>
      <c r="X19" s="11">
        <v>12</v>
      </c>
      <c r="Y19" s="11">
        <v>0</v>
      </c>
      <c r="Z19" s="11">
        <v>2.73</v>
      </c>
      <c r="AA19" s="46">
        <v>5</v>
      </c>
      <c r="AB19" s="41">
        <v>264107</v>
      </c>
      <c r="AC19" s="41">
        <v>23401</v>
      </c>
      <c r="AD19" s="42">
        <v>2533</v>
      </c>
      <c r="AE19" s="43">
        <f>AD19/Recieving!AC18</f>
        <v>28.144444444444446</v>
      </c>
      <c r="AF19" s="44"/>
    </row>
    <row r="20" spans="1:33" x14ac:dyDescent="0.3">
      <c r="A20" s="36">
        <f t="shared" si="1"/>
        <v>46312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8"/>
      <c r="S20" s="11">
        <f t="shared" si="0"/>
        <v>0</v>
      </c>
      <c r="T20" s="11"/>
      <c r="U20" s="39"/>
      <c r="V20" s="45"/>
      <c r="W20" s="11" t="e">
        <f t="shared" si="2"/>
        <v>#DIV/0!</v>
      </c>
      <c r="X20" s="11"/>
      <c r="Y20" s="11"/>
      <c r="Z20" s="11"/>
      <c r="AA20" s="46"/>
      <c r="AB20" s="41"/>
      <c r="AC20" s="41"/>
      <c r="AD20" s="42"/>
      <c r="AE20" s="43" t="e">
        <f>AD20/Recieving!AC19</f>
        <v>#DIV/0!</v>
      </c>
      <c r="AF20" s="44"/>
    </row>
    <row r="21" spans="1:33" x14ac:dyDescent="0.3">
      <c r="A21" s="36">
        <f t="shared" si="1"/>
        <v>46313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8"/>
      <c r="S21" s="11">
        <f t="shared" si="0"/>
        <v>0</v>
      </c>
      <c r="T21" s="11"/>
      <c r="U21" s="3"/>
      <c r="V21" s="45"/>
      <c r="W21" s="11" t="e">
        <f t="shared" si="2"/>
        <v>#DIV/0!</v>
      </c>
      <c r="X21" s="11"/>
      <c r="Y21" s="11"/>
      <c r="Z21" s="11"/>
      <c r="AA21" s="46"/>
      <c r="AB21" s="41"/>
      <c r="AC21" s="41"/>
      <c r="AD21" s="42"/>
      <c r="AE21" s="43" t="e">
        <f>AD21/Recieving!AC20</f>
        <v>#DIV/0!</v>
      </c>
      <c r="AF21" s="44"/>
    </row>
    <row r="22" spans="1:33" x14ac:dyDescent="0.3">
      <c r="A22" s="36">
        <f t="shared" si="1"/>
        <v>46314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8"/>
      <c r="S22" s="11">
        <f t="shared" si="0"/>
        <v>0</v>
      </c>
      <c r="T22" s="11"/>
      <c r="U22" s="3"/>
      <c r="V22" s="45"/>
      <c r="W22" s="11" t="e">
        <f t="shared" si="2"/>
        <v>#DIV/0!</v>
      </c>
      <c r="X22" s="11"/>
      <c r="Y22" s="11"/>
      <c r="Z22" s="11"/>
      <c r="AA22" s="46"/>
      <c r="AB22" s="41"/>
      <c r="AC22" s="41"/>
      <c r="AD22" s="42"/>
      <c r="AE22" s="43" t="e">
        <f>AD22/Recieving!AC21</f>
        <v>#DIV/0!</v>
      </c>
      <c r="AF22" s="44"/>
    </row>
    <row r="23" spans="1:33" x14ac:dyDescent="0.3">
      <c r="A23" s="36">
        <f t="shared" si="1"/>
        <v>46315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8"/>
      <c r="S23" s="11">
        <f t="shared" si="0"/>
        <v>0</v>
      </c>
      <c r="T23" s="11"/>
      <c r="U23" s="3"/>
      <c r="V23" s="45"/>
      <c r="W23" s="11" t="e">
        <f t="shared" si="2"/>
        <v>#DIV/0!</v>
      </c>
      <c r="X23" s="11"/>
      <c r="Y23" s="11"/>
      <c r="Z23" s="11"/>
      <c r="AA23" s="46"/>
      <c r="AB23" s="41"/>
      <c r="AC23" s="41"/>
      <c r="AD23" s="42"/>
      <c r="AE23" s="43" t="e">
        <f>AD23/Recieving!AC22</f>
        <v>#DIV/0!</v>
      </c>
      <c r="AF23" s="44"/>
    </row>
    <row r="24" spans="1:33" x14ac:dyDescent="0.3">
      <c r="A24" s="36">
        <f t="shared" si="1"/>
        <v>46316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8"/>
      <c r="S24" s="11">
        <f t="shared" si="0"/>
        <v>0</v>
      </c>
      <c r="T24" s="11"/>
      <c r="U24" s="11"/>
      <c r="V24" s="45"/>
      <c r="W24" s="11" t="e">
        <f t="shared" si="2"/>
        <v>#DIV/0!</v>
      </c>
      <c r="X24" s="11"/>
      <c r="Y24" s="11"/>
      <c r="Z24" s="11"/>
      <c r="AA24" s="46"/>
      <c r="AB24" s="41"/>
      <c r="AC24" s="41"/>
      <c r="AD24" s="42"/>
      <c r="AE24" s="43" t="e">
        <f>AD24/Recieving!AC23</f>
        <v>#DIV/0!</v>
      </c>
      <c r="AF24" s="43"/>
      <c r="AG24" s="43"/>
    </row>
    <row r="25" spans="1:33" x14ac:dyDescent="0.3">
      <c r="A25" s="36">
        <f t="shared" si="1"/>
        <v>46317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8"/>
      <c r="S25" s="11">
        <f t="shared" si="0"/>
        <v>0</v>
      </c>
      <c r="T25" s="11"/>
      <c r="U25" s="11"/>
      <c r="V25" s="45"/>
      <c r="W25" s="11" t="e">
        <f t="shared" si="2"/>
        <v>#DIV/0!</v>
      </c>
      <c r="X25" s="11"/>
      <c r="Y25" s="11"/>
      <c r="Z25" s="11"/>
      <c r="AA25" s="46"/>
      <c r="AB25" s="41"/>
      <c r="AC25" s="41"/>
      <c r="AD25" s="42"/>
      <c r="AE25" s="43" t="e">
        <f>AD25/Recieving!AC24</f>
        <v>#DIV/0!</v>
      </c>
    </row>
    <row r="26" spans="1:33" x14ac:dyDescent="0.3">
      <c r="A26" s="36">
        <f t="shared" si="1"/>
        <v>46318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8"/>
      <c r="S26" s="11">
        <f t="shared" si="0"/>
        <v>0</v>
      </c>
      <c r="T26" s="11"/>
      <c r="U26" s="11"/>
      <c r="V26" s="45"/>
      <c r="W26" s="11" t="e">
        <f t="shared" si="2"/>
        <v>#DIV/0!</v>
      </c>
      <c r="X26" s="11"/>
      <c r="Y26" s="11"/>
      <c r="Z26" s="11"/>
      <c r="AA26" s="46"/>
      <c r="AB26" s="41"/>
      <c r="AC26" s="41"/>
      <c r="AD26" s="42"/>
      <c r="AE26" s="43" t="e">
        <f>AD26/Recieving!AC25</f>
        <v>#DIV/0!</v>
      </c>
    </row>
    <row r="27" spans="1:33" x14ac:dyDescent="0.3">
      <c r="A27" s="36">
        <f t="shared" si="1"/>
        <v>46319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/>
      <c r="S27" s="11">
        <f t="shared" si="0"/>
        <v>0</v>
      </c>
      <c r="T27" s="11"/>
      <c r="U27" s="3"/>
      <c r="V27" s="47"/>
      <c r="W27" s="11" t="e">
        <f t="shared" si="2"/>
        <v>#DIV/0!</v>
      </c>
      <c r="X27" s="11"/>
      <c r="Y27" s="11"/>
      <c r="Z27" s="11"/>
      <c r="AA27" s="46"/>
      <c r="AB27" s="41"/>
      <c r="AC27" s="41"/>
      <c r="AD27" s="42"/>
      <c r="AE27" s="43" t="e">
        <f>AD27/Recieving!AC26</f>
        <v>#DIV/0!</v>
      </c>
    </row>
    <row r="28" spans="1:33" x14ac:dyDescent="0.3">
      <c r="A28" s="36">
        <f t="shared" si="1"/>
        <v>46320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8"/>
      <c r="S28" s="11">
        <f t="shared" si="0"/>
        <v>0</v>
      </c>
      <c r="T28" s="11"/>
      <c r="U28" s="3"/>
      <c r="V28" s="47"/>
      <c r="W28" s="11" t="e">
        <f t="shared" si="2"/>
        <v>#DIV/0!</v>
      </c>
      <c r="X28" s="11"/>
      <c r="Y28" s="11"/>
      <c r="Z28" s="11"/>
      <c r="AA28" s="46"/>
      <c r="AB28" s="41"/>
      <c r="AC28" s="41"/>
      <c r="AD28" s="42"/>
      <c r="AE28" s="43" t="e">
        <f>AD28/Recieving!AC27</f>
        <v>#DIV/0!</v>
      </c>
      <c r="AF28" s="415"/>
      <c r="AG28" s="415"/>
    </row>
    <row r="29" spans="1:33" x14ac:dyDescent="0.3">
      <c r="A29" s="36">
        <f t="shared" si="1"/>
        <v>46321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8"/>
      <c r="S29" s="11">
        <f t="shared" si="0"/>
        <v>0</v>
      </c>
      <c r="T29" s="11"/>
      <c r="U29" s="3"/>
      <c r="V29" s="47"/>
      <c r="W29" s="11" t="e">
        <f t="shared" si="2"/>
        <v>#DIV/0!</v>
      </c>
      <c r="X29" s="11"/>
      <c r="Y29" s="11"/>
      <c r="Z29" s="11"/>
      <c r="AA29" s="46"/>
      <c r="AB29" s="41"/>
      <c r="AC29" s="41"/>
      <c r="AD29" s="42"/>
      <c r="AE29" s="43" t="e">
        <f>AD29/Recieving!AC28</f>
        <v>#DIV/0!</v>
      </c>
    </row>
    <row r="30" spans="1:33" x14ac:dyDescent="0.3">
      <c r="A30" s="36">
        <f>+A29+1</f>
        <v>46322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8"/>
      <c r="S30" s="11">
        <f t="shared" si="0"/>
        <v>0</v>
      </c>
      <c r="T30" s="11"/>
      <c r="U30" s="3"/>
      <c r="V30" s="47"/>
      <c r="W30" s="11" t="e">
        <f t="shared" si="2"/>
        <v>#DIV/0!</v>
      </c>
      <c r="X30" s="11"/>
      <c r="Y30" s="11"/>
      <c r="Z30" s="11"/>
      <c r="AA30" s="46"/>
      <c r="AB30" s="41"/>
      <c r="AC30" s="41"/>
      <c r="AD30" s="42"/>
      <c r="AE30" s="43" t="e">
        <f>AD30/Recieving!AC29</f>
        <v>#DIV/0!</v>
      </c>
    </row>
    <row r="31" spans="1:33" x14ac:dyDescent="0.3">
      <c r="A31" s="36">
        <f t="shared" si="1"/>
        <v>46323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8"/>
      <c r="S31" s="11">
        <f t="shared" si="0"/>
        <v>0</v>
      </c>
      <c r="T31" s="11"/>
      <c r="U31" s="3"/>
      <c r="V31" s="47"/>
      <c r="W31" s="11" t="e">
        <f t="shared" si="2"/>
        <v>#DIV/0!</v>
      </c>
      <c r="X31" s="11"/>
      <c r="Y31" s="11"/>
      <c r="Z31" s="11"/>
      <c r="AA31" s="46"/>
      <c r="AB31" s="41"/>
      <c r="AC31" s="41"/>
      <c r="AD31" s="42"/>
      <c r="AE31" s="43" t="e">
        <f>AD31/Recieving!AC30</f>
        <v>#DIV/0!</v>
      </c>
    </row>
    <row r="32" spans="1:33" x14ac:dyDescent="0.3">
      <c r="A32" s="36">
        <f t="shared" si="1"/>
        <v>46324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8"/>
      <c r="S32" s="11">
        <f t="shared" si="0"/>
        <v>0</v>
      </c>
      <c r="T32" s="11"/>
      <c r="U32" s="3"/>
      <c r="V32" s="47"/>
      <c r="W32" s="11" t="e">
        <f t="shared" si="2"/>
        <v>#DIV/0!</v>
      </c>
      <c r="X32" s="11"/>
      <c r="Y32" s="11"/>
      <c r="Z32" s="11"/>
      <c r="AA32" s="46"/>
      <c r="AB32" s="41"/>
      <c r="AC32" s="41"/>
      <c r="AD32" s="42"/>
      <c r="AE32" s="43" t="e">
        <f>AD32/Recieving!AC31</f>
        <v>#DIV/0!</v>
      </c>
    </row>
    <row r="33" spans="1:31" x14ac:dyDescent="0.3">
      <c r="A33" s="36">
        <f>+A32+1</f>
        <v>46325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8"/>
      <c r="S33" s="11">
        <f t="shared" si="0"/>
        <v>0</v>
      </c>
      <c r="T33" s="11"/>
      <c r="U33" s="3"/>
      <c r="V33" s="47"/>
      <c r="W33" s="11" t="e">
        <f t="shared" si="2"/>
        <v>#DIV/0!</v>
      </c>
      <c r="X33" s="11"/>
      <c r="Y33" s="11"/>
      <c r="Z33" s="11"/>
      <c r="AA33" s="46"/>
      <c r="AB33" s="41"/>
      <c r="AC33" s="41"/>
      <c r="AD33" s="42"/>
      <c r="AE33" s="43" t="e">
        <f>AD33/Recieving!AC32</f>
        <v>#DIV/0!</v>
      </c>
    </row>
    <row r="34" spans="1:31" x14ac:dyDescent="0.3">
      <c r="A34" s="36">
        <f>+A33+1</f>
        <v>46326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8"/>
      <c r="S34" s="11">
        <f t="shared" si="0"/>
        <v>0</v>
      </c>
      <c r="T34" s="11"/>
      <c r="U34" s="3"/>
      <c r="V34" s="47"/>
      <c r="W34" s="11" t="e">
        <f t="shared" si="2"/>
        <v>#DIV/0!</v>
      </c>
      <c r="X34" s="11"/>
      <c r="Y34" s="11"/>
      <c r="Z34" s="11"/>
      <c r="AA34" s="46"/>
      <c r="AB34" s="41"/>
      <c r="AC34" s="41"/>
      <c r="AD34" s="42"/>
      <c r="AE34" s="43" t="e">
        <f>AD34/Recieving!AC33</f>
        <v>#DIV/0!</v>
      </c>
    </row>
    <row r="35" spans="1:31" ht="15.6" x14ac:dyDescent="0.3">
      <c r="A35" s="48" t="s">
        <v>16</v>
      </c>
      <c r="B35" s="49">
        <f>SUM(B4:B34)</f>
        <v>0</v>
      </c>
      <c r="C35" s="49">
        <f>SUM(C4:C34)</f>
        <v>1117</v>
      </c>
      <c r="D35" s="50">
        <f>SUM(D4:D34)</f>
        <v>401</v>
      </c>
      <c r="E35" s="50">
        <f t="shared" ref="E35:V35" si="3">SUM(E4:E34)</f>
        <v>451</v>
      </c>
      <c r="F35" s="49">
        <f t="shared" si="3"/>
        <v>1633</v>
      </c>
      <c r="G35" s="49">
        <f t="shared" si="3"/>
        <v>3510</v>
      </c>
      <c r="H35" s="49">
        <f t="shared" si="3"/>
        <v>130</v>
      </c>
      <c r="I35" s="49">
        <f t="shared" si="3"/>
        <v>0</v>
      </c>
      <c r="J35" s="49">
        <f t="shared" si="3"/>
        <v>244</v>
      </c>
      <c r="K35" s="50">
        <f t="shared" si="3"/>
        <v>19.309999999999999</v>
      </c>
      <c r="L35" s="49">
        <f t="shared" si="3"/>
        <v>0</v>
      </c>
      <c r="M35" s="49">
        <f t="shared" si="3"/>
        <v>11</v>
      </c>
      <c r="N35" s="51">
        <f t="shared" si="3"/>
        <v>0</v>
      </c>
      <c r="O35" s="51">
        <f t="shared" si="3"/>
        <v>2</v>
      </c>
      <c r="P35" s="51">
        <f t="shared" si="3"/>
        <v>0</v>
      </c>
      <c r="Q35" s="51">
        <f t="shared" si="3"/>
        <v>0</v>
      </c>
      <c r="R35" s="49">
        <f t="shared" si="3"/>
        <v>0</v>
      </c>
      <c r="S35" s="50">
        <f t="shared" si="3"/>
        <v>7518.3099999999995</v>
      </c>
      <c r="T35" s="50">
        <f t="shared" si="3"/>
        <v>6465.7090000000007</v>
      </c>
      <c r="U35" s="50">
        <f t="shared" si="3"/>
        <v>87.72999999999999</v>
      </c>
      <c r="V35" s="52">
        <f t="shared" si="3"/>
        <v>1312.57</v>
      </c>
      <c r="W35" s="53">
        <f>+T35/S35*100</f>
        <v>85.999499887607726</v>
      </c>
      <c r="X35" s="54">
        <f t="shared" ref="X35:AD35" si="4">SUM(X4:X34)</f>
        <v>190</v>
      </c>
      <c r="Y35" s="50">
        <f t="shared" si="4"/>
        <v>8.3699999999999992</v>
      </c>
      <c r="Z35" s="50">
        <f t="shared" si="4"/>
        <v>66.009999999999991</v>
      </c>
      <c r="AA35" s="50">
        <f t="shared" si="4"/>
        <v>44.5</v>
      </c>
      <c r="AB35" s="55">
        <f t="shared" si="4"/>
        <v>4220464</v>
      </c>
      <c r="AC35" s="55">
        <f t="shared" si="4"/>
        <v>375532</v>
      </c>
      <c r="AD35" s="56">
        <f t="shared" si="4"/>
        <v>50899</v>
      </c>
      <c r="AE35" s="43"/>
    </row>
    <row r="36" spans="1:31" x14ac:dyDescent="0.3">
      <c r="N36" s="57"/>
      <c r="V36" s="59"/>
      <c r="AC36" s="60">
        <f>+AB35+AC35+AD35</f>
        <v>4646895</v>
      </c>
    </row>
    <row r="37" spans="1:31" x14ac:dyDescent="0.3">
      <c r="G37" s="61"/>
      <c r="M37" s="21"/>
      <c r="N37" s="62"/>
    </row>
    <row r="38" spans="1:31" ht="15.6" x14ac:dyDescent="0.3">
      <c r="G38" s="63">
        <f>G35+[2]Recieving!J34</f>
        <v>3572.81</v>
      </c>
      <c r="M38" s="64">
        <f>M35+M37</f>
        <v>11</v>
      </c>
      <c r="O38" s="328"/>
    </row>
    <row r="39" spans="1:31" x14ac:dyDescent="0.3">
      <c r="G39" s="313"/>
    </row>
    <row r="40" spans="1:31" ht="15.6" x14ac:dyDescent="0.3">
      <c r="G40" s="329"/>
    </row>
  </sheetData>
  <mergeCells count="4">
    <mergeCell ref="A1:I2"/>
    <mergeCell ref="S1:S2"/>
    <mergeCell ref="T1:T2"/>
    <mergeCell ref="AF28:AG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013F-B73D-452C-8A2B-AD617F3CEA65}">
  <dimension ref="A1:N46"/>
  <sheetViews>
    <sheetView zoomScale="99" zoomScaleNormal="99" workbookViewId="0">
      <pane ySplit="2" topLeftCell="A6" activePane="bottomLeft" state="frozen"/>
      <selection pane="bottomLeft" activeCell="F18" sqref="F18"/>
    </sheetView>
  </sheetViews>
  <sheetFormatPr defaultRowHeight="14.4" x14ac:dyDescent="0.3"/>
  <cols>
    <col min="1" max="1" width="17.33203125" bestFit="1" customWidth="1"/>
    <col min="2" max="2" width="10.109375" bestFit="1" customWidth="1"/>
    <col min="3" max="3" width="12.6640625" bestFit="1" customWidth="1"/>
    <col min="4" max="4" width="11.33203125" bestFit="1" customWidth="1"/>
    <col min="5" max="5" width="14.33203125" bestFit="1" customWidth="1"/>
    <col min="6" max="7" width="10.109375" bestFit="1" customWidth="1"/>
    <col min="8" max="8" width="9.88671875" bestFit="1" customWidth="1"/>
    <col min="9" max="9" width="9.5546875" bestFit="1" customWidth="1"/>
    <col min="10" max="10" width="9.21875" customWidth="1"/>
  </cols>
  <sheetData>
    <row r="1" spans="1:14" ht="16.2" thickBot="1" x14ac:dyDescent="0.35">
      <c r="A1" s="416" t="s">
        <v>169</v>
      </c>
      <c r="B1" s="417"/>
      <c r="C1" s="417"/>
      <c r="D1" s="417"/>
      <c r="E1" s="417"/>
      <c r="F1" s="417"/>
      <c r="G1" s="417"/>
      <c r="H1" s="417"/>
      <c r="I1" s="417"/>
      <c r="J1" s="417"/>
    </row>
    <row r="2" spans="1:14" ht="43.8" thickBot="1" x14ac:dyDescent="0.35">
      <c r="A2" s="65" t="s">
        <v>0</v>
      </c>
      <c r="B2" s="66" t="s">
        <v>61</v>
      </c>
      <c r="C2" s="66" t="s">
        <v>62</v>
      </c>
      <c r="D2" s="66" t="s">
        <v>63</v>
      </c>
      <c r="E2" s="66" t="s">
        <v>64</v>
      </c>
      <c r="F2" s="66" t="s">
        <v>65</v>
      </c>
      <c r="G2" s="66" t="s">
        <v>66</v>
      </c>
      <c r="H2" s="66" t="s">
        <v>67</v>
      </c>
      <c r="I2" s="67" t="s">
        <v>68</v>
      </c>
      <c r="J2" s="68" t="s">
        <v>69</v>
      </c>
    </row>
    <row r="3" spans="1:14" x14ac:dyDescent="0.3">
      <c r="A3" s="69">
        <v>46296</v>
      </c>
      <c r="B3" s="70">
        <v>189.66399999999999</v>
      </c>
      <c r="C3" s="70">
        <v>80</v>
      </c>
      <c r="D3" s="70">
        <f>C3+B3</f>
        <v>269.66399999999999</v>
      </c>
      <c r="E3" s="40">
        <v>63.66</v>
      </c>
      <c r="F3" s="45">
        <v>140</v>
      </c>
      <c r="G3" s="71">
        <f>D3-F3</f>
        <v>129.66399999999999</v>
      </c>
      <c r="H3" s="45">
        <v>33.409999999999997</v>
      </c>
      <c r="I3" s="72">
        <v>0</v>
      </c>
      <c r="J3" s="73">
        <v>0</v>
      </c>
      <c r="K3" s="59"/>
    </row>
    <row r="4" spans="1:14" x14ac:dyDescent="0.3">
      <c r="A4" s="69">
        <v>46297</v>
      </c>
      <c r="B4" s="70">
        <f t="shared" ref="B4:B33" si="0">G3</f>
        <v>129.66399999999999</v>
      </c>
      <c r="C4" s="74">
        <v>70</v>
      </c>
      <c r="D4" s="70">
        <f t="shared" ref="D4:D33" si="1">C4+B4</f>
        <v>199.66399999999999</v>
      </c>
      <c r="E4" s="45">
        <v>90.69</v>
      </c>
      <c r="F4" s="45">
        <v>9.5299999999999994</v>
      </c>
      <c r="G4" s="71">
        <f t="shared" ref="G4:G26" si="2">D4-F4</f>
        <v>190.13399999999999</v>
      </c>
      <c r="H4" s="3">
        <v>0</v>
      </c>
      <c r="I4" s="75">
        <v>9.5299999999999994</v>
      </c>
      <c r="J4" s="73">
        <v>0</v>
      </c>
      <c r="K4" s="59"/>
    </row>
    <row r="5" spans="1:14" x14ac:dyDescent="0.3">
      <c r="A5" s="69">
        <v>46298</v>
      </c>
      <c r="B5" s="70">
        <f t="shared" si="0"/>
        <v>190.13399999999999</v>
      </c>
      <c r="C5" s="74">
        <v>80</v>
      </c>
      <c r="D5" s="70">
        <f t="shared" si="1"/>
        <v>270.13400000000001</v>
      </c>
      <c r="E5" s="45">
        <v>81.73</v>
      </c>
      <c r="F5" s="45">
        <v>7.35</v>
      </c>
      <c r="G5" s="71">
        <f>D5-F5</f>
        <v>262.78399999999999</v>
      </c>
      <c r="H5" s="3">
        <v>0</v>
      </c>
      <c r="I5" s="75">
        <v>7.35</v>
      </c>
      <c r="J5" s="73">
        <v>0</v>
      </c>
      <c r="K5" s="59"/>
    </row>
    <row r="6" spans="1:14" x14ac:dyDescent="0.3">
      <c r="A6" s="69">
        <v>46299</v>
      </c>
      <c r="B6" s="70">
        <f t="shared" si="0"/>
        <v>262.78399999999999</v>
      </c>
      <c r="C6" s="74">
        <v>105</v>
      </c>
      <c r="D6" s="70">
        <f t="shared" si="1"/>
        <v>367.78399999999999</v>
      </c>
      <c r="E6" s="45">
        <v>129.69999999999999</v>
      </c>
      <c r="F6" s="45">
        <v>3.86</v>
      </c>
      <c r="G6" s="71">
        <f t="shared" si="2"/>
        <v>363.92399999999998</v>
      </c>
      <c r="H6" s="3">
        <v>0</v>
      </c>
      <c r="I6" s="75">
        <v>3.86</v>
      </c>
      <c r="J6" s="73">
        <v>0</v>
      </c>
      <c r="K6" s="59"/>
      <c r="N6" s="73">
        <v>0</v>
      </c>
    </row>
    <row r="7" spans="1:14" x14ac:dyDescent="0.3">
      <c r="A7" s="69">
        <v>46300</v>
      </c>
      <c r="B7" s="70">
        <f t="shared" si="0"/>
        <v>363.92399999999998</v>
      </c>
      <c r="C7" s="74">
        <v>70</v>
      </c>
      <c r="D7" s="70">
        <f t="shared" si="1"/>
        <v>433.92399999999998</v>
      </c>
      <c r="E7" s="45">
        <v>68.87</v>
      </c>
      <c r="F7" s="45">
        <v>2.79</v>
      </c>
      <c r="G7" s="71">
        <f t="shared" si="2"/>
        <v>431.13399999999996</v>
      </c>
      <c r="H7" s="3">
        <v>0</v>
      </c>
      <c r="I7" s="75">
        <v>2.79</v>
      </c>
      <c r="J7" s="73">
        <v>0</v>
      </c>
      <c r="K7" s="59"/>
    </row>
    <row r="8" spans="1:14" x14ac:dyDescent="0.3">
      <c r="A8" s="69">
        <v>46301</v>
      </c>
      <c r="B8" s="70">
        <f t="shared" si="0"/>
        <v>431.13399999999996</v>
      </c>
      <c r="C8" s="74">
        <v>80</v>
      </c>
      <c r="D8" s="70">
        <f t="shared" si="1"/>
        <v>511.13399999999996</v>
      </c>
      <c r="E8" s="45">
        <v>83.49</v>
      </c>
      <c r="F8" s="45">
        <v>341</v>
      </c>
      <c r="G8" s="71">
        <f t="shared" si="2"/>
        <v>170.13399999999996</v>
      </c>
      <c r="H8" s="3">
        <v>34.18</v>
      </c>
      <c r="I8" s="75">
        <v>2.8</v>
      </c>
      <c r="J8" s="73">
        <v>0</v>
      </c>
      <c r="K8" s="59"/>
    </row>
    <row r="9" spans="1:14" x14ac:dyDescent="0.3">
      <c r="A9" s="69">
        <v>46302</v>
      </c>
      <c r="B9" s="70">
        <f t="shared" si="0"/>
        <v>170.13399999999996</v>
      </c>
      <c r="C9" s="74">
        <v>70</v>
      </c>
      <c r="D9" s="70">
        <f t="shared" si="1"/>
        <v>240.13399999999996</v>
      </c>
      <c r="E9" s="45">
        <v>62.25</v>
      </c>
      <c r="F9" s="45">
        <v>0</v>
      </c>
      <c r="G9" s="71">
        <f t="shared" si="2"/>
        <v>240.13399999999996</v>
      </c>
      <c r="H9" s="3">
        <v>0</v>
      </c>
      <c r="I9" s="75">
        <v>0</v>
      </c>
      <c r="J9" s="73">
        <v>0</v>
      </c>
      <c r="K9" s="59"/>
    </row>
    <row r="10" spans="1:14" x14ac:dyDescent="0.3">
      <c r="A10" s="69">
        <v>46303</v>
      </c>
      <c r="B10" s="70">
        <f t="shared" si="0"/>
        <v>240.13399999999996</v>
      </c>
      <c r="C10" s="74">
        <v>70</v>
      </c>
      <c r="D10" s="70">
        <f t="shared" si="1"/>
        <v>310.13399999999996</v>
      </c>
      <c r="E10" s="45">
        <v>79.75</v>
      </c>
      <c r="F10" s="45">
        <v>4.33</v>
      </c>
      <c r="G10" s="71">
        <f t="shared" si="2"/>
        <v>305.80399999999997</v>
      </c>
      <c r="H10" s="3">
        <v>0</v>
      </c>
      <c r="I10" s="75">
        <v>4.33</v>
      </c>
      <c r="J10" s="73">
        <v>0</v>
      </c>
      <c r="K10" s="59"/>
    </row>
    <row r="11" spans="1:14" x14ac:dyDescent="0.3">
      <c r="A11" s="69">
        <v>46304</v>
      </c>
      <c r="B11" s="70">
        <f t="shared" si="0"/>
        <v>305.80399999999997</v>
      </c>
      <c r="C11" s="74">
        <v>100</v>
      </c>
      <c r="D11" s="70">
        <f t="shared" si="1"/>
        <v>405.80399999999997</v>
      </c>
      <c r="E11" s="45">
        <v>100.63</v>
      </c>
      <c r="F11" s="45">
        <v>2.67</v>
      </c>
      <c r="G11" s="71">
        <f t="shared" si="2"/>
        <v>403.13399999999996</v>
      </c>
      <c r="H11" s="3">
        <v>0</v>
      </c>
      <c r="I11" s="75">
        <v>2.67</v>
      </c>
      <c r="J11" s="73"/>
      <c r="K11" s="59"/>
    </row>
    <row r="12" spans="1:14" x14ac:dyDescent="0.3">
      <c r="A12" s="69">
        <v>46305</v>
      </c>
      <c r="B12" s="70">
        <f t="shared" si="0"/>
        <v>403.13399999999996</v>
      </c>
      <c r="C12" s="73">
        <v>120</v>
      </c>
      <c r="D12" s="70">
        <f t="shared" si="1"/>
        <v>523.13400000000001</v>
      </c>
      <c r="E12" s="45">
        <v>102.88</v>
      </c>
      <c r="F12" s="45">
        <v>310</v>
      </c>
      <c r="G12" s="71">
        <f t="shared" si="2"/>
        <v>213.13400000000001</v>
      </c>
      <c r="H12" s="3">
        <v>30.91</v>
      </c>
      <c r="I12" s="75">
        <v>7.04</v>
      </c>
      <c r="J12" s="73"/>
      <c r="K12" s="59"/>
    </row>
    <row r="13" spans="1:14" x14ac:dyDescent="0.3">
      <c r="A13" s="69">
        <v>46306</v>
      </c>
      <c r="B13" s="70">
        <f t="shared" si="0"/>
        <v>213.13400000000001</v>
      </c>
      <c r="C13" s="74">
        <v>100</v>
      </c>
      <c r="D13" s="70">
        <f t="shared" si="1"/>
        <v>313.13400000000001</v>
      </c>
      <c r="E13" s="45">
        <v>107.39</v>
      </c>
      <c r="F13" s="45">
        <v>3.13</v>
      </c>
      <c r="G13" s="71">
        <f t="shared" si="2"/>
        <v>310.00400000000002</v>
      </c>
      <c r="H13" s="3">
        <v>0</v>
      </c>
      <c r="I13" s="75">
        <v>3.13</v>
      </c>
      <c r="J13" s="73"/>
      <c r="K13" s="59"/>
    </row>
    <row r="14" spans="1:14" x14ac:dyDescent="0.3">
      <c r="A14" s="69">
        <v>46307</v>
      </c>
      <c r="B14" s="70">
        <f t="shared" si="0"/>
        <v>310.00400000000002</v>
      </c>
      <c r="C14" s="74">
        <v>130</v>
      </c>
      <c r="D14" s="70">
        <f t="shared" si="1"/>
        <v>440.00400000000002</v>
      </c>
      <c r="E14" s="45">
        <v>91.11</v>
      </c>
      <c r="F14" s="45">
        <v>270</v>
      </c>
      <c r="G14" s="71">
        <f t="shared" si="2"/>
        <v>170.00400000000002</v>
      </c>
      <c r="H14" s="3">
        <v>26</v>
      </c>
      <c r="I14" s="75">
        <v>7.04</v>
      </c>
      <c r="J14" s="73"/>
      <c r="K14" s="59"/>
    </row>
    <row r="15" spans="1:14" x14ac:dyDescent="0.3">
      <c r="A15" s="69">
        <v>46308</v>
      </c>
      <c r="B15" s="70">
        <f t="shared" si="0"/>
        <v>170.00400000000002</v>
      </c>
      <c r="C15" s="74">
        <v>80</v>
      </c>
      <c r="D15" s="70">
        <f t="shared" si="1"/>
        <v>250.00400000000002</v>
      </c>
      <c r="E15" s="45">
        <v>19.12</v>
      </c>
      <c r="F15" s="45">
        <v>2.59</v>
      </c>
      <c r="G15" s="71">
        <f t="shared" si="2"/>
        <v>247.41400000000002</v>
      </c>
      <c r="H15" s="3">
        <v>0</v>
      </c>
      <c r="I15" s="75">
        <v>2.59</v>
      </c>
      <c r="J15" s="73"/>
      <c r="K15" s="59"/>
    </row>
    <row r="16" spans="1:14" x14ac:dyDescent="0.3">
      <c r="A16" s="69">
        <v>46309</v>
      </c>
      <c r="B16" s="70">
        <f t="shared" si="0"/>
        <v>247.41400000000002</v>
      </c>
      <c r="C16" s="74">
        <v>70</v>
      </c>
      <c r="D16" s="70">
        <f t="shared" si="1"/>
        <v>317.41399999999999</v>
      </c>
      <c r="E16" s="45">
        <v>113.89</v>
      </c>
      <c r="F16" s="45">
        <v>7.53</v>
      </c>
      <c r="G16" s="71">
        <f t="shared" si="2"/>
        <v>309.88400000000001</v>
      </c>
      <c r="H16" s="3">
        <v>0</v>
      </c>
      <c r="I16" s="75">
        <v>7.53</v>
      </c>
      <c r="J16" s="73"/>
      <c r="K16" s="59"/>
    </row>
    <row r="17" spans="1:13" x14ac:dyDescent="0.3">
      <c r="A17" s="69">
        <v>46310</v>
      </c>
      <c r="B17" s="70">
        <f t="shared" si="0"/>
        <v>309.88400000000001</v>
      </c>
      <c r="C17" s="74">
        <v>100</v>
      </c>
      <c r="D17" s="70">
        <f t="shared" si="1"/>
        <v>409.88400000000001</v>
      </c>
      <c r="E17" s="45">
        <v>62.02</v>
      </c>
      <c r="F17" s="45">
        <v>300</v>
      </c>
      <c r="G17" s="71">
        <f t="shared" si="2"/>
        <v>109.88400000000001</v>
      </c>
      <c r="H17" s="3">
        <v>33.130000000000003</v>
      </c>
      <c r="I17" s="75">
        <v>2.62</v>
      </c>
      <c r="J17" s="73"/>
      <c r="K17" s="59"/>
    </row>
    <row r="18" spans="1:13" x14ac:dyDescent="0.3">
      <c r="A18" s="69">
        <v>46311</v>
      </c>
      <c r="B18" s="70">
        <f t="shared" si="0"/>
        <v>109.88400000000001</v>
      </c>
      <c r="C18" s="74"/>
      <c r="D18" s="70">
        <f t="shared" si="1"/>
        <v>109.88400000000001</v>
      </c>
      <c r="E18" s="45"/>
      <c r="F18" s="45"/>
      <c r="G18" s="71">
        <f t="shared" si="2"/>
        <v>109.88400000000001</v>
      </c>
      <c r="H18" s="3"/>
      <c r="I18" s="75"/>
      <c r="J18" s="73"/>
      <c r="K18" s="59"/>
    </row>
    <row r="19" spans="1:13" x14ac:dyDescent="0.3">
      <c r="A19" s="69">
        <v>46312</v>
      </c>
      <c r="B19" s="70">
        <f t="shared" si="0"/>
        <v>109.88400000000001</v>
      </c>
      <c r="C19" s="74"/>
      <c r="D19" s="70">
        <f t="shared" si="1"/>
        <v>109.88400000000001</v>
      </c>
      <c r="E19" s="45"/>
      <c r="F19" s="45"/>
      <c r="G19" s="71">
        <f t="shared" si="2"/>
        <v>109.88400000000001</v>
      </c>
      <c r="H19" s="3"/>
      <c r="I19" s="75"/>
      <c r="J19" s="73"/>
      <c r="K19" s="59"/>
    </row>
    <row r="20" spans="1:13" x14ac:dyDescent="0.3">
      <c r="A20" s="69">
        <v>46313</v>
      </c>
      <c r="B20" s="70">
        <f t="shared" si="0"/>
        <v>109.88400000000001</v>
      </c>
      <c r="C20" s="74"/>
      <c r="D20" s="70">
        <f t="shared" si="1"/>
        <v>109.88400000000001</v>
      </c>
      <c r="E20" s="45"/>
      <c r="F20" s="45"/>
      <c r="G20" s="71">
        <f t="shared" si="2"/>
        <v>109.88400000000001</v>
      </c>
      <c r="H20" s="3"/>
      <c r="I20" s="75"/>
      <c r="J20" s="73"/>
      <c r="K20" s="59"/>
    </row>
    <row r="21" spans="1:13" x14ac:dyDescent="0.3">
      <c r="A21" s="69">
        <v>46314</v>
      </c>
      <c r="B21" s="70">
        <f t="shared" si="0"/>
        <v>109.88400000000001</v>
      </c>
      <c r="C21" s="74"/>
      <c r="D21" s="70">
        <f t="shared" si="1"/>
        <v>109.88400000000001</v>
      </c>
      <c r="E21" s="45"/>
      <c r="F21" s="45"/>
      <c r="G21" s="71">
        <f t="shared" si="2"/>
        <v>109.88400000000001</v>
      </c>
      <c r="H21" s="3"/>
      <c r="I21" s="75"/>
      <c r="J21" s="73"/>
      <c r="K21" s="59"/>
      <c r="M21" s="76"/>
    </row>
    <row r="22" spans="1:13" x14ac:dyDescent="0.3">
      <c r="A22" s="69">
        <v>46315</v>
      </c>
      <c r="B22" s="70">
        <f t="shared" si="0"/>
        <v>109.88400000000001</v>
      </c>
      <c r="C22" s="74"/>
      <c r="D22" s="70">
        <f t="shared" si="1"/>
        <v>109.88400000000001</v>
      </c>
      <c r="E22" s="45"/>
      <c r="F22" s="45"/>
      <c r="G22" s="71">
        <f t="shared" si="2"/>
        <v>109.88400000000001</v>
      </c>
      <c r="H22" s="3"/>
      <c r="I22" s="75"/>
      <c r="J22" s="73"/>
      <c r="M22" s="29"/>
    </row>
    <row r="23" spans="1:13" x14ac:dyDescent="0.3">
      <c r="A23" s="69">
        <v>46316</v>
      </c>
      <c r="B23" s="70">
        <f t="shared" si="0"/>
        <v>109.88400000000001</v>
      </c>
      <c r="C23" s="74"/>
      <c r="D23" s="70">
        <f t="shared" si="1"/>
        <v>109.88400000000001</v>
      </c>
      <c r="E23" s="45"/>
      <c r="F23" s="45"/>
      <c r="G23" s="71">
        <f>D23-F23</f>
        <v>109.88400000000001</v>
      </c>
      <c r="H23" s="3"/>
      <c r="I23" s="75"/>
      <c r="J23" s="73"/>
      <c r="M23" s="29"/>
    </row>
    <row r="24" spans="1:13" x14ac:dyDescent="0.3">
      <c r="A24" s="69">
        <v>46317</v>
      </c>
      <c r="B24" s="70">
        <f t="shared" si="0"/>
        <v>109.88400000000001</v>
      </c>
      <c r="C24" s="74"/>
      <c r="D24" s="70">
        <f t="shared" si="1"/>
        <v>109.88400000000001</v>
      </c>
      <c r="E24" s="45"/>
      <c r="F24" s="45"/>
      <c r="G24" s="71">
        <f t="shared" si="2"/>
        <v>109.88400000000001</v>
      </c>
      <c r="H24" s="3"/>
      <c r="I24" s="75"/>
      <c r="J24" s="73"/>
      <c r="M24" s="29"/>
    </row>
    <row r="25" spans="1:13" x14ac:dyDescent="0.3">
      <c r="A25" s="69">
        <v>46318</v>
      </c>
      <c r="B25" s="70">
        <f t="shared" si="0"/>
        <v>109.88400000000001</v>
      </c>
      <c r="C25" s="74"/>
      <c r="D25" s="70">
        <f t="shared" si="1"/>
        <v>109.88400000000001</v>
      </c>
      <c r="E25" s="45"/>
      <c r="F25" s="45"/>
      <c r="G25" s="71">
        <f t="shared" si="2"/>
        <v>109.88400000000001</v>
      </c>
      <c r="H25" s="3"/>
      <c r="I25" s="77"/>
      <c r="J25" s="73"/>
      <c r="M25" s="29"/>
    </row>
    <row r="26" spans="1:13" x14ac:dyDescent="0.3">
      <c r="A26" s="69">
        <v>46319</v>
      </c>
      <c r="B26" s="70">
        <f t="shared" si="0"/>
        <v>109.88400000000001</v>
      </c>
      <c r="C26" s="74"/>
      <c r="D26" s="70">
        <f t="shared" si="1"/>
        <v>109.88400000000001</v>
      </c>
      <c r="E26" s="45"/>
      <c r="F26" s="45"/>
      <c r="G26" s="71">
        <f t="shared" si="2"/>
        <v>109.88400000000001</v>
      </c>
      <c r="H26" s="3"/>
      <c r="I26" s="77"/>
      <c r="J26" s="73"/>
      <c r="L26" s="78"/>
      <c r="M26" s="29"/>
    </row>
    <row r="27" spans="1:13" x14ac:dyDescent="0.3">
      <c r="A27" s="69">
        <v>46320</v>
      </c>
      <c r="B27" s="70">
        <f t="shared" si="0"/>
        <v>109.88400000000001</v>
      </c>
      <c r="C27" s="74"/>
      <c r="D27" s="70">
        <f t="shared" si="1"/>
        <v>109.88400000000001</v>
      </c>
      <c r="E27" s="45"/>
      <c r="F27" s="45"/>
      <c r="G27" s="71">
        <f>D27-F27</f>
        <v>109.88400000000001</v>
      </c>
      <c r="H27" s="3"/>
      <c r="I27" s="77"/>
      <c r="J27" s="73"/>
      <c r="M27" s="29"/>
    </row>
    <row r="28" spans="1:13" x14ac:dyDescent="0.3">
      <c r="A28" s="69">
        <v>46321</v>
      </c>
      <c r="B28" s="70">
        <f t="shared" si="0"/>
        <v>109.88400000000001</v>
      </c>
      <c r="C28" s="74"/>
      <c r="D28" s="70">
        <f t="shared" si="1"/>
        <v>109.88400000000001</v>
      </c>
      <c r="E28" s="45"/>
      <c r="F28" s="45"/>
      <c r="G28" s="71">
        <f>D28-F28</f>
        <v>109.88400000000001</v>
      </c>
      <c r="H28" s="3"/>
      <c r="I28" s="77"/>
      <c r="J28" s="73"/>
      <c r="M28" s="29"/>
    </row>
    <row r="29" spans="1:13" x14ac:dyDescent="0.3">
      <c r="A29" s="69">
        <v>46322</v>
      </c>
      <c r="B29" s="70">
        <f t="shared" si="0"/>
        <v>109.88400000000001</v>
      </c>
      <c r="C29" s="74"/>
      <c r="D29" s="70">
        <f t="shared" si="1"/>
        <v>109.88400000000001</v>
      </c>
      <c r="E29" s="45"/>
      <c r="F29" s="45"/>
      <c r="G29" s="71">
        <f>D29-F29</f>
        <v>109.88400000000001</v>
      </c>
      <c r="H29" s="3"/>
      <c r="I29" s="77"/>
      <c r="J29" s="73"/>
      <c r="M29" s="29"/>
    </row>
    <row r="30" spans="1:13" x14ac:dyDescent="0.3">
      <c r="A30" s="69">
        <v>46323</v>
      </c>
      <c r="B30" s="70">
        <f t="shared" si="0"/>
        <v>109.88400000000001</v>
      </c>
      <c r="C30" s="74"/>
      <c r="D30" s="70">
        <f t="shared" si="1"/>
        <v>109.88400000000001</v>
      </c>
      <c r="E30" s="45"/>
      <c r="F30" s="45"/>
      <c r="G30" s="71">
        <f>D30-F30</f>
        <v>109.88400000000001</v>
      </c>
      <c r="H30" s="3"/>
      <c r="I30" s="77"/>
      <c r="J30" s="73"/>
      <c r="M30" s="29"/>
    </row>
    <row r="31" spans="1:13" x14ac:dyDescent="0.3">
      <c r="A31" s="69">
        <v>46324</v>
      </c>
      <c r="B31" s="70">
        <f t="shared" si="0"/>
        <v>109.88400000000001</v>
      </c>
      <c r="C31" s="74"/>
      <c r="D31" s="70">
        <f t="shared" si="1"/>
        <v>109.88400000000001</v>
      </c>
      <c r="E31" s="45"/>
      <c r="F31" s="45"/>
      <c r="G31" s="71">
        <f t="shared" ref="G31:G33" si="3">D31-F31</f>
        <v>109.88400000000001</v>
      </c>
      <c r="H31" s="3"/>
      <c r="I31" s="77"/>
      <c r="J31" s="73"/>
      <c r="M31" s="29"/>
    </row>
    <row r="32" spans="1:13" x14ac:dyDescent="0.3">
      <c r="A32" s="69">
        <v>46325</v>
      </c>
      <c r="B32" s="70">
        <f t="shared" si="0"/>
        <v>109.88400000000001</v>
      </c>
      <c r="C32" s="74"/>
      <c r="D32" s="70">
        <f t="shared" si="1"/>
        <v>109.88400000000001</v>
      </c>
      <c r="E32" s="45"/>
      <c r="F32" s="45"/>
      <c r="G32" s="71">
        <f t="shared" si="3"/>
        <v>109.88400000000001</v>
      </c>
      <c r="H32" s="3"/>
      <c r="I32" s="77"/>
      <c r="J32" s="73"/>
      <c r="M32" s="29"/>
    </row>
    <row r="33" spans="1:13" x14ac:dyDescent="0.3">
      <c r="A33" s="69">
        <v>46326</v>
      </c>
      <c r="B33" s="70">
        <f t="shared" si="0"/>
        <v>109.88400000000001</v>
      </c>
      <c r="C33" s="74"/>
      <c r="D33" s="70">
        <f t="shared" si="1"/>
        <v>109.88400000000001</v>
      </c>
      <c r="E33" s="45"/>
      <c r="F33" s="45"/>
      <c r="G33" s="71">
        <f t="shared" si="3"/>
        <v>109.88400000000001</v>
      </c>
      <c r="H33" s="3"/>
      <c r="I33" s="77"/>
      <c r="J33" s="73"/>
      <c r="M33" s="29"/>
    </row>
    <row r="34" spans="1:13" x14ac:dyDescent="0.3">
      <c r="A34" s="69"/>
      <c r="B34" s="79"/>
      <c r="C34" s="80">
        <f>SUM(C3:C33)</f>
        <v>1325</v>
      </c>
      <c r="D34" s="74"/>
      <c r="E34" s="81">
        <f>SUM(E3:E33)</f>
        <v>1257.1799999999998</v>
      </c>
      <c r="F34" s="80">
        <f>SUM(F3:F33)</f>
        <v>1404.7799999999997</v>
      </c>
      <c r="G34" s="82"/>
      <c r="H34" s="83">
        <f>SUM(H3:H33)</f>
        <v>157.63</v>
      </c>
      <c r="I34" s="84">
        <f>SUM(I3:I33)</f>
        <v>63.279999999999994</v>
      </c>
      <c r="J34" s="85">
        <f>SUM(J3:J33)</f>
        <v>0</v>
      </c>
      <c r="M34" s="29"/>
    </row>
    <row r="35" spans="1:13" ht="15" thickBot="1" x14ac:dyDescent="0.35">
      <c r="G35" s="59"/>
      <c r="M35" s="29"/>
    </row>
    <row r="36" spans="1:13" ht="18.600000000000001" thickBot="1" x14ac:dyDescent="0.4">
      <c r="E36" s="86" t="s">
        <v>70</v>
      </c>
      <c r="F36" s="87">
        <f>H34/F34*100</f>
        <v>11.220974102706476</v>
      </c>
      <c r="H36" s="59"/>
      <c r="M36" s="29"/>
    </row>
    <row r="37" spans="1:13" x14ac:dyDescent="0.3">
      <c r="M37" s="29"/>
    </row>
    <row r="38" spans="1:13" x14ac:dyDescent="0.3">
      <c r="M38" s="29"/>
    </row>
    <row r="39" spans="1:13" x14ac:dyDescent="0.3">
      <c r="M39" s="29"/>
    </row>
    <row r="40" spans="1:13" x14ac:dyDescent="0.3">
      <c r="M40" s="29"/>
    </row>
    <row r="41" spans="1:13" x14ac:dyDescent="0.3">
      <c r="M41" s="29"/>
    </row>
    <row r="42" spans="1:13" x14ac:dyDescent="0.3">
      <c r="M42" s="29"/>
    </row>
    <row r="43" spans="1:13" x14ac:dyDescent="0.3">
      <c r="M43" s="29"/>
    </row>
    <row r="44" spans="1:13" x14ac:dyDescent="0.3">
      <c r="M44" s="29"/>
    </row>
    <row r="45" spans="1:13" x14ac:dyDescent="0.3">
      <c r="M45" s="29"/>
    </row>
    <row r="46" spans="1:13" x14ac:dyDescent="0.3">
      <c r="M46" s="29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27BA-4248-4C8A-ABCC-5196B528B1EA}">
  <dimension ref="A1:Z50"/>
  <sheetViews>
    <sheetView tabSelected="1" zoomScale="117" zoomScaleNormal="117" workbookViewId="0">
      <selection activeCell="J16" sqref="J16"/>
    </sheetView>
  </sheetViews>
  <sheetFormatPr defaultColWidth="9.109375" defaultRowHeight="13.8" x14ac:dyDescent="0.3"/>
  <cols>
    <col min="1" max="1" width="11.33203125" style="275" bestFit="1" customWidth="1"/>
    <col min="2" max="2" width="14.77734375" style="92" bestFit="1" customWidth="1"/>
    <col min="3" max="3" width="15.33203125" style="92" bestFit="1" customWidth="1"/>
    <col min="4" max="4" width="8.6640625" style="92" bestFit="1" customWidth="1"/>
    <col min="5" max="5" width="14.33203125" style="92" bestFit="1" customWidth="1"/>
    <col min="6" max="6" width="13.109375" style="92" customWidth="1"/>
    <col min="7" max="7" width="13.6640625" style="92" bestFit="1" customWidth="1"/>
    <col min="8" max="8" width="12.33203125" style="92" customWidth="1"/>
    <col min="9" max="10" width="10.109375" style="92" customWidth="1"/>
    <col min="11" max="11" width="11.33203125" style="92" customWidth="1"/>
    <col min="12" max="12" width="14" style="92" customWidth="1"/>
    <col min="13" max="13" width="18.21875" style="92" bestFit="1" customWidth="1"/>
    <col min="14" max="14" width="13.5546875" style="92" customWidth="1"/>
    <col min="15" max="15" width="21.6640625" style="92" customWidth="1"/>
    <col min="16" max="16" width="9.88671875" style="92" bestFit="1" customWidth="1"/>
    <col min="17" max="17" width="8.33203125" style="92" customWidth="1"/>
    <col min="18" max="18" width="8.88671875" style="92" bestFit="1" customWidth="1"/>
    <col min="19" max="19" width="4.6640625" style="92" bestFit="1" customWidth="1"/>
    <col min="20" max="20" width="8" style="92" customWidth="1"/>
    <col min="21" max="22" width="6.5546875" style="92" customWidth="1"/>
    <col min="23" max="23" width="12.109375" style="92" bestFit="1" customWidth="1"/>
    <col min="24" max="24" width="10.44140625" style="92" bestFit="1" customWidth="1"/>
    <col min="25" max="25" width="18.33203125" style="92" bestFit="1" customWidth="1"/>
    <col min="26" max="27" width="9.109375" style="92"/>
    <col min="28" max="28" width="8.5546875" style="92" bestFit="1" customWidth="1"/>
    <col min="29" max="29" width="5" style="92" bestFit="1" customWidth="1"/>
    <col min="30" max="30" width="9.109375" style="92"/>
    <col min="31" max="31" width="9.5546875" style="92" bestFit="1" customWidth="1"/>
    <col min="32" max="32" width="12.44140625" style="92" bestFit="1" customWidth="1"/>
    <col min="33" max="33" width="12.5546875" style="92" bestFit="1" customWidth="1"/>
    <col min="34" max="34" width="9.109375" style="92"/>
    <col min="35" max="35" width="8.5546875" style="92" bestFit="1" customWidth="1"/>
    <col min="36" max="36" width="4.5546875" style="92" bestFit="1" customWidth="1"/>
    <col min="37" max="37" width="5" style="92" bestFit="1" customWidth="1"/>
    <col min="38" max="38" width="7.44140625" style="92" bestFit="1" customWidth="1"/>
    <col min="39" max="16384" width="9.109375" style="92"/>
  </cols>
  <sheetData>
    <row r="1" spans="1:25" ht="15.75" customHeight="1" thickBot="1" x14ac:dyDescent="0.35">
      <c r="A1" s="338" t="s">
        <v>166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40"/>
      <c r="N1" s="341" t="s">
        <v>71</v>
      </c>
      <c r="O1" s="342"/>
      <c r="P1" s="88">
        <f>W22</f>
        <v>16</v>
      </c>
      <c r="Q1" s="89"/>
      <c r="R1" s="90" t="s">
        <v>72</v>
      </c>
      <c r="S1" s="91"/>
      <c r="T1" s="91"/>
      <c r="U1" s="91"/>
      <c r="V1" s="91"/>
    </row>
    <row r="2" spans="1:25" ht="15.75" customHeight="1" thickBot="1" x14ac:dyDescent="0.35">
      <c r="A2" s="343" t="s">
        <v>73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93"/>
      <c r="N2" s="94"/>
      <c r="O2" s="343" t="s">
        <v>74</v>
      </c>
      <c r="P2" s="344"/>
      <c r="Q2" s="344"/>
      <c r="R2" s="344"/>
      <c r="S2" s="344"/>
      <c r="T2" s="344"/>
      <c r="U2" s="344"/>
      <c r="V2" s="344"/>
      <c r="W2" s="345"/>
    </row>
    <row r="3" spans="1:25" s="103" customFormat="1" ht="30.75" customHeight="1" thickBot="1" x14ac:dyDescent="0.35">
      <c r="A3" s="95" t="s">
        <v>75</v>
      </c>
      <c r="B3" s="346" t="s">
        <v>76</v>
      </c>
      <c r="C3" s="346"/>
      <c r="D3" s="96" t="s">
        <v>77</v>
      </c>
      <c r="E3" s="96" t="s">
        <v>35</v>
      </c>
      <c r="F3" s="96" t="s">
        <v>78</v>
      </c>
      <c r="G3" s="96" t="s">
        <v>36</v>
      </c>
      <c r="H3" s="96" t="s">
        <v>79</v>
      </c>
      <c r="I3" s="96" t="s">
        <v>80</v>
      </c>
      <c r="J3" s="96" t="s">
        <v>81</v>
      </c>
      <c r="K3" s="96" t="s">
        <v>82</v>
      </c>
      <c r="L3" s="96" t="s">
        <v>83</v>
      </c>
      <c r="M3" s="97" t="s">
        <v>84</v>
      </c>
      <c r="N3" s="98"/>
      <c r="O3" s="99" t="s">
        <v>85</v>
      </c>
      <c r="P3" s="100" t="s">
        <v>86</v>
      </c>
      <c r="Q3" s="100" t="s">
        <v>87</v>
      </c>
      <c r="R3" s="100" t="s">
        <v>88</v>
      </c>
      <c r="S3" s="100" t="s">
        <v>89</v>
      </c>
      <c r="T3" s="100" t="s">
        <v>90</v>
      </c>
      <c r="U3" s="100" t="s">
        <v>91</v>
      </c>
      <c r="V3" s="101" t="s">
        <v>92</v>
      </c>
      <c r="W3" s="102" t="s">
        <v>93</v>
      </c>
    </row>
    <row r="4" spans="1:25" ht="14.4" thickBot="1" x14ac:dyDescent="0.35">
      <c r="A4" s="336">
        <v>1</v>
      </c>
      <c r="B4" s="337" t="s">
        <v>94</v>
      </c>
      <c r="C4" s="337"/>
      <c r="D4" s="105">
        <v>690.94999999999982</v>
      </c>
      <c r="E4" s="106">
        <f>Recieving!C34</f>
        <v>805.21</v>
      </c>
      <c r="F4" s="106">
        <f>(D4+E4)</f>
        <v>1496.1599999999999</v>
      </c>
      <c r="G4" s="107">
        <f>'Issue '!C35</f>
        <v>1117</v>
      </c>
      <c r="H4" s="106">
        <f>+F4-G4</f>
        <v>379.15999999999985</v>
      </c>
      <c r="I4" s="107">
        <f>W4</f>
        <v>16</v>
      </c>
      <c r="J4" s="107">
        <f t="shared" ref="J4:J16" si="0">(G4/$G$17)*100</f>
        <v>14.857062291924647</v>
      </c>
      <c r="K4" s="107">
        <f>J4*L4</f>
        <v>11.929556575525096</v>
      </c>
      <c r="L4" s="108">
        <f>M4/100+2%</f>
        <v>0.80295527750524698</v>
      </c>
      <c r="M4" s="109">
        <f>Recieving!AG36</f>
        <v>78.295527750524698</v>
      </c>
      <c r="N4" s="110"/>
      <c r="O4" s="111" t="s">
        <v>94</v>
      </c>
      <c r="P4" s="112">
        <v>16</v>
      </c>
      <c r="Q4" s="112">
        <v>16</v>
      </c>
      <c r="R4" s="112">
        <v>16</v>
      </c>
      <c r="S4" s="112">
        <v>0</v>
      </c>
      <c r="T4" s="112">
        <v>0</v>
      </c>
      <c r="U4" s="112">
        <v>0</v>
      </c>
      <c r="V4" s="113">
        <v>0</v>
      </c>
      <c r="W4" s="114">
        <f t="shared" ref="W4:W16" si="1">(P4*$P$22+Q4*$Q$22+R4*$R$22+S4*$S$22+T4*$T$22+U4*$U$22+V4*$V$22)/$W$22</f>
        <v>16</v>
      </c>
      <c r="Y4" s="115"/>
    </row>
    <row r="5" spans="1:25" ht="15" thickBot="1" x14ac:dyDescent="0.35">
      <c r="A5" s="104">
        <v>2</v>
      </c>
      <c r="B5" s="337" t="s">
        <v>95</v>
      </c>
      <c r="C5" s="337"/>
      <c r="D5" s="116">
        <v>272.8599999999999</v>
      </c>
      <c r="E5" s="106">
        <f>Recieving!D34+Recieving!E34</f>
        <v>823.21</v>
      </c>
      <c r="F5" s="106">
        <f t="shared" ref="F5:F15" si="2">(D5+E5)</f>
        <v>1096.07</v>
      </c>
      <c r="G5" s="107">
        <f>'Issue '!D35+'Issue '!E35</f>
        <v>852</v>
      </c>
      <c r="H5" s="106">
        <f t="shared" ref="H5:H16" si="3">+F5-G5</f>
        <v>244.06999999999994</v>
      </c>
      <c r="I5" s="107">
        <f t="shared" ref="I5:I16" si="4">W5</f>
        <v>11.25</v>
      </c>
      <c r="J5" s="117">
        <f t="shared" si="0"/>
        <v>11.332333995272874</v>
      </c>
      <c r="K5" s="107">
        <f t="shared" ref="K5:K15" si="5">J5*L5</f>
        <v>8.5551449304852785</v>
      </c>
      <c r="L5" s="118">
        <f>M5/100</f>
        <v>0.7549322967408072</v>
      </c>
      <c r="M5" s="119">
        <f>Recieving!AI36</f>
        <v>75.493229674080723</v>
      </c>
      <c r="N5" s="120"/>
      <c r="O5" s="121" t="s">
        <v>95</v>
      </c>
      <c r="P5" s="122">
        <v>6</v>
      </c>
      <c r="Q5" s="123">
        <v>13</v>
      </c>
      <c r="R5" s="123">
        <v>13</v>
      </c>
      <c r="S5" s="123">
        <v>0</v>
      </c>
      <c r="T5" s="123">
        <v>0</v>
      </c>
      <c r="U5" s="123">
        <v>0</v>
      </c>
      <c r="V5" s="124">
        <v>0</v>
      </c>
      <c r="W5" s="114">
        <f t="shared" si="1"/>
        <v>11.25</v>
      </c>
      <c r="Y5" s="115"/>
    </row>
    <row r="6" spans="1:25" ht="14.4" thickBot="1" x14ac:dyDescent="0.35">
      <c r="A6" s="104">
        <v>3</v>
      </c>
      <c r="B6" s="337" t="s">
        <v>96</v>
      </c>
      <c r="C6" s="337"/>
      <c r="D6" s="116">
        <v>131.63000000000011</v>
      </c>
      <c r="E6" s="106">
        <f>Recieving!F34</f>
        <v>1701.9299999999998</v>
      </c>
      <c r="F6" s="106">
        <f t="shared" si="2"/>
        <v>1833.56</v>
      </c>
      <c r="G6" s="107">
        <f>'Issue '!F35</f>
        <v>1633</v>
      </c>
      <c r="H6" s="106">
        <f t="shared" si="3"/>
        <v>200.55999999999995</v>
      </c>
      <c r="I6" s="107">
        <f t="shared" si="4"/>
        <v>19.5</v>
      </c>
      <c r="J6" s="125">
        <f t="shared" si="0"/>
        <v>21.720306824273006</v>
      </c>
      <c r="K6" s="107">
        <f t="shared" si="5"/>
        <v>17.130433196782189</v>
      </c>
      <c r="L6" s="118">
        <f>M6/100</f>
        <v>0.78868283654439386</v>
      </c>
      <c r="M6" s="119">
        <f>Recieving!AH36</f>
        <v>78.868283654439381</v>
      </c>
      <c r="N6" s="120"/>
      <c r="O6" s="121" t="s">
        <v>96</v>
      </c>
      <c r="P6" s="123">
        <v>27</v>
      </c>
      <c r="Q6" s="123">
        <v>17</v>
      </c>
      <c r="R6" s="123">
        <v>17</v>
      </c>
      <c r="S6" s="123">
        <v>0</v>
      </c>
      <c r="T6" s="123">
        <v>0</v>
      </c>
      <c r="U6" s="123">
        <v>0</v>
      </c>
      <c r="V6" s="124">
        <v>0</v>
      </c>
      <c r="W6" s="114">
        <f t="shared" si="1"/>
        <v>19.5</v>
      </c>
      <c r="Y6" s="115"/>
    </row>
    <row r="7" spans="1:25" ht="38.4" customHeight="1" thickBot="1" x14ac:dyDescent="0.35">
      <c r="A7" s="104">
        <v>4</v>
      </c>
      <c r="B7" s="337" t="s">
        <v>11</v>
      </c>
      <c r="C7" s="337"/>
      <c r="D7" s="126">
        <v>316.55</v>
      </c>
      <c r="E7" s="106">
        <f>Recieving!L34</f>
        <v>0</v>
      </c>
      <c r="F7" s="106">
        <f t="shared" si="2"/>
        <v>316.55</v>
      </c>
      <c r="G7" s="310">
        <f>'Issue '!O35</f>
        <v>2</v>
      </c>
      <c r="H7" s="311">
        <f>(+F7-G7)-10.09</f>
        <v>304.46000000000004</v>
      </c>
      <c r="I7" s="107">
        <f t="shared" si="4"/>
        <v>1.75</v>
      </c>
      <c r="J7" s="125">
        <f t="shared" si="0"/>
        <v>2.6601722993598292E-2</v>
      </c>
      <c r="K7" s="107">
        <f t="shared" si="5"/>
        <v>2.5005619613982392E-2</v>
      </c>
      <c r="L7" s="127">
        <v>0.94</v>
      </c>
      <c r="M7" s="128"/>
      <c r="N7" s="331" t="s">
        <v>172</v>
      </c>
      <c r="O7" s="121" t="s">
        <v>11</v>
      </c>
      <c r="P7" s="123">
        <v>4</v>
      </c>
      <c r="Q7" s="123">
        <v>1</v>
      </c>
      <c r="R7" s="123">
        <v>1</v>
      </c>
      <c r="S7" s="123">
        <v>0</v>
      </c>
      <c r="T7" s="123">
        <v>0</v>
      </c>
      <c r="U7" s="123">
        <v>0</v>
      </c>
      <c r="V7" s="124">
        <v>0</v>
      </c>
      <c r="W7" s="114">
        <f t="shared" si="1"/>
        <v>1.75</v>
      </c>
      <c r="Y7" s="115"/>
    </row>
    <row r="8" spans="1:25" ht="24" customHeight="1" thickBot="1" x14ac:dyDescent="0.35">
      <c r="A8" s="104">
        <v>5</v>
      </c>
      <c r="B8" s="337" t="s">
        <v>45</v>
      </c>
      <c r="C8" s="337"/>
      <c r="D8" s="129">
        <v>549.6690000000001</v>
      </c>
      <c r="E8" s="106">
        <f>Recieving!G34</f>
        <v>4202.05</v>
      </c>
      <c r="F8" s="106">
        <f t="shared" si="2"/>
        <v>4751.7190000000001</v>
      </c>
      <c r="G8" s="310">
        <f>'Issue '!G35</f>
        <v>3510</v>
      </c>
      <c r="H8" s="312">
        <f>(+F8-G8)-0.13</f>
        <v>1241.5889999999999</v>
      </c>
      <c r="I8" s="107">
        <f t="shared" si="4"/>
        <v>46</v>
      </c>
      <c r="J8" s="125">
        <f t="shared" si="0"/>
        <v>46.686023853765008</v>
      </c>
      <c r="K8" s="107">
        <f t="shared" si="5"/>
        <v>43.418002184001459</v>
      </c>
      <c r="L8" s="127">
        <v>0.93</v>
      </c>
      <c r="M8" s="130"/>
      <c r="N8" s="330" t="s">
        <v>171</v>
      </c>
      <c r="O8" s="131" t="s">
        <v>45</v>
      </c>
      <c r="P8" s="123">
        <v>40</v>
      </c>
      <c r="Q8" s="123">
        <v>48</v>
      </c>
      <c r="R8" s="123">
        <v>48</v>
      </c>
      <c r="S8" s="123">
        <v>0</v>
      </c>
      <c r="T8" s="123">
        <v>0</v>
      </c>
      <c r="U8" s="123">
        <v>0</v>
      </c>
      <c r="V8" s="124">
        <v>0</v>
      </c>
      <c r="W8" s="114">
        <f>(P8*$P$22+Q8*$Q$22+R8*$R$22+S8*$S$22+T8*$T$22+U8*$U$22+V8*$V$22)/$W$22</f>
        <v>46</v>
      </c>
      <c r="Y8" s="115"/>
    </row>
    <row r="9" spans="1:25" ht="14.4" thickBot="1" x14ac:dyDescent="0.35">
      <c r="A9" s="104">
        <v>6</v>
      </c>
      <c r="B9" s="347" t="s">
        <v>10</v>
      </c>
      <c r="C9" s="348"/>
      <c r="D9" s="132">
        <v>0</v>
      </c>
      <c r="E9" s="106">
        <f>Recieving!K34</f>
        <v>0</v>
      </c>
      <c r="F9" s="106">
        <f t="shared" si="2"/>
        <v>0</v>
      </c>
      <c r="G9" s="107">
        <f>'Issue '!N35</f>
        <v>0</v>
      </c>
      <c r="H9" s="106">
        <f t="shared" si="3"/>
        <v>0</v>
      </c>
      <c r="I9" s="107">
        <f t="shared" si="4"/>
        <v>0</v>
      </c>
      <c r="J9" s="107">
        <f t="shared" si="0"/>
        <v>0</v>
      </c>
      <c r="K9" s="107">
        <f t="shared" si="5"/>
        <v>0</v>
      </c>
      <c r="L9" s="127">
        <v>0.91</v>
      </c>
      <c r="M9" s="133"/>
      <c r="N9" s="134"/>
      <c r="O9" s="135" t="s">
        <v>10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4">
        <v>0</v>
      </c>
      <c r="W9" s="114">
        <f t="shared" si="1"/>
        <v>0</v>
      </c>
      <c r="Y9" s="115"/>
    </row>
    <row r="10" spans="1:25" ht="14.4" thickBot="1" x14ac:dyDescent="0.35">
      <c r="A10" s="104">
        <v>7</v>
      </c>
      <c r="B10" s="337" t="s">
        <v>97</v>
      </c>
      <c r="C10" s="337"/>
      <c r="D10" s="126">
        <v>33.6099999999999</v>
      </c>
      <c r="E10" s="106">
        <f>Recieving!H34</f>
        <v>283.08</v>
      </c>
      <c r="F10" s="106">
        <f t="shared" si="2"/>
        <v>316.68999999999988</v>
      </c>
      <c r="G10" s="107">
        <f>'Issue '!J35</f>
        <v>244</v>
      </c>
      <c r="H10" s="106">
        <f t="shared" si="3"/>
        <v>72.689999999999884</v>
      </c>
      <c r="I10" s="107">
        <f t="shared" si="4"/>
        <v>3</v>
      </c>
      <c r="J10" s="107">
        <f t="shared" si="0"/>
        <v>3.2454102052189917</v>
      </c>
      <c r="K10" s="107">
        <f t="shared" si="5"/>
        <v>3.1805020011146117</v>
      </c>
      <c r="L10" s="127">
        <v>0.98</v>
      </c>
      <c r="M10" s="133"/>
      <c r="N10" s="136"/>
      <c r="O10" s="121" t="s">
        <v>97</v>
      </c>
      <c r="P10" s="123">
        <v>3</v>
      </c>
      <c r="Q10" s="123">
        <v>3</v>
      </c>
      <c r="R10" s="123">
        <v>3</v>
      </c>
      <c r="S10" s="123">
        <v>0</v>
      </c>
      <c r="T10" s="123">
        <v>0</v>
      </c>
      <c r="U10" s="123">
        <v>0</v>
      </c>
      <c r="V10" s="124">
        <v>0</v>
      </c>
      <c r="W10" s="114">
        <f t="shared" si="1"/>
        <v>3</v>
      </c>
      <c r="Y10" s="115"/>
    </row>
    <row r="11" spans="1:25" ht="14.4" thickBot="1" x14ac:dyDescent="0.35">
      <c r="A11" s="104">
        <v>8</v>
      </c>
      <c r="B11" s="337" t="s">
        <v>8</v>
      </c>
      <c r="C11" s="337"/>
      <c r="D11" s="132">
        <v>0</v>
      </c>
      <c r="E11" s="106">
        <f>Recieving!I34</f>
        <v>0</v>
      </c>
      <c r="F11" s="106">
        <f t="shared" si="2"/>
        <v>0</v>
      </c>
      <c r="G11" s="107">
        <f>'Issue '!L35</f>
        <v>0</v>
      </c>
      <c r="H11" s="107">
        <f t="shared" si="3"/>
        <v>0</v>
      </c>
      <c r="I11" s="107">
        <f t="shared" si="4"/>
        <v>0</v>
      </c>
      <c r="J11" s="107">
        <f t="shared" si="0"/>
        <v>0</v>
      </c>
      <c r="K11" s="107">
        <f t="shared" si="5"/>
        <v>0</v>
      </c>
      <c r="L11" s="127">
        <v>0.88</v>
      </c>
      <c r="M11" s="133"/>
      <c r="N11" s="134"/>
      <c r="O11" s="135" t="s">
        <v>8</v>
      </c>
      <c r="P11" s="123">
        <v>0</v>
      </c>
      <c r="Q11" s="123">
        <v>0</v>
      </c>
      <c r="R11" s="123">
        <v>0</v>
      </c>
      <c r="S11" s="123">
        <v>0</v>
      </c>
      <c r="T11" s="123">
        <v>0</v>
      </c>
      <c r="U11" s="123">
        <v>0</v>
      </c>
      <c r="V11" s="124">
        <v>0</v>
      </c>
      <c r="W11" s="114">
        <f t="shared" si="1"/>
        <v>0</v>
      </c>
      <c r="Y11" s="115"/>
    </row>
    <row r="12" spans="1:25" ht="14.4" thickBot="1" x14ac:dyDescent="0.35">
      <c r="A12" s="104">
        <v>9</v>
      </c>
      <c r="B12" s="337" t="s">
        <v>49</v>
      </c>
      <c r="C12" s="337"/>
      <c r="D12" s="129">
        <v>33.024999999999977</v>
      </c>
      <c r="E12" s="106">
        <f>Recieving!J34</f>
        <v>85.81</v>
      </c>
      <c r="F12" s="106">
        <f t="shared" si="2"/>
        <v>118.83499999999998</v>
      </c>
      <c r="G12" s="107">
        <f>'Issue '!M35</f>
        <v>11</v>
      </c>
      <c r="H12" s="137">
        <f>+F12-G12</f>
        <v>107.83499999999998</v>
      </c>
      <c r="I12" s="107">
        <f t="shared" si="4"/>
        <v>0.25</v>
      </c>
      <c r="J12" s="107">
        <f t="shared" si="0"/>
        <v>0.14630947646479062</v>
      </c>
      <c r="K12" s="107">
        <f t="shared" si="5"/>
        <v>0.13167852881831155</v>
      </c>
      <c r="L12" s="127">
        <v>0.9</v>
      </c>
      <c r="M12" s="133"/>
      <c r="N12" s="134">
        <f>H8+H10+H14</f>
        <v>1321.9789999999998</v>
      </c>
      <c r="O12" s="121" t="s">
        <v>49</v>
      </c>
      <c r="P12" s="123">
        <v>1</v>
      </c>
      <c r="Q12" s="123">
        <v>0</v>
      </c>
      <c r="R12" s="123">
        <v>0</v>
      </c>
      <c r="S12" s="123">
        <v>0</v>
      </c>
      <c r="T12" s="123">
        <v>0</v>
      </c>
      <c r="U12" s="123">
        <v>0</v>
      </c>
      <c r="V12" s="124">
        <v>0</v>
      </c>
      <c r="W12" s="114">
        <f t="shared" si="1"/>
        <v>0.25</v>
      </c>
      <c r="Y12" s="115"/>
    </row>
    <row r="13" spans="1:25" ht="14.4" thickBot="1" x14ac:dyDescent="0.35">
      <c r="A13" s="104">
        <v>10</v>
      </c>
      <c r="B13" s="347" t="s">
        <v>12</v>
      </c>
      <c r="C13" s="348"/>
      <c r="D13" s="132">
        <v>0</v>
      </c>
      <c r="E13" s="106">
        <f>Recieving!M34</f>
        <v>0</v>
      </c>
      <c r="F13" s="106">
        <f t="shared" si="2"/>
        <v>0</v>
      </c>
      <c r="G13" s="107">
        <f>'Issue '!P35</f>
        <v>0</v>
      </c>
      <c r="H13" s="106">
        <f t="shared" si="3"/>
        <v>0</v>
      </c>
      <c r="I13" s="107">
        <f t="shared" si="4"/>
        <v>0</v>
      </c>
      <c r="J13" s="107">
        <f t="shared" si="0"/>
        <v>0</v>
      </c>
      <c r="K13" s="107">
        <f t="shared" si="5"/>
        <v>0</v>
      </c>
      <c r="L13" s="127">
        <v>0.93</v>
      </c>
      <c r="M13" s="133"/>
      <c r="N13" s="134"/>
      <c r="O13" s="121" t="s">
        <v>12</v>
      </c>
      <c r="P13" s="123">
        <v>0</v>
      </c>
      <c r="Q13" s="123">
        <v>0</v>
      </c>
      <c r="R13" s="123">
        <v>0</v>
      </c>
      <c r="S13" s="123">
        <v>0</v>
      </c>
      <c r="T13" s="123">
        <v>0</v>
      </c>
      <c r="U13" s="123">
        <v>0</v>
      </c>
      <c r="V13" s="124">
        <v>0</v>
      </c>
      <c r="W13" s="114">
        <f t="shared" si="1"/>
        <v>0</v>
      </c>
      <c r="Y13" s="115"/>
    </row>
    <row r="14" spans="1:25" ht="14.4" thickBot="1" x14ac:dyDescent="0.35">
      <c r="A14" s="104">
        <v>11</v>
      </c>
      <c r="B14" s="347" t="s">
        <v>98</v>
      </c>
      <c r="C14" s="348"/>
      <c r="D14" s="126">
        <v>19.310000000000002</v>
      </c>
      <c r="E14" s="106">
        <f>Recieving!N34</f>
        <v>7.6999999999999993</v>
      </c>
      <c r="F14" s="106">
        <f t="shared" si="2"/>
        <v>27.01</v>
      </c>
      <c r="G14" s="106">
        <f>'Issue '!K35</f>
        <v>19.309999999999999</v>
      </c>
      <c r="H14" s="106">
        <f t="shared" si="3"/>
        <v>7.7000000000000028</v>
      </c>
      <c r="I14" s="107">
        <f t="shared" si="4"/>
        <v>0</v>
      </c>
      <c r="J14" s="107">
        <f t="shared" si="0"/>
        <v>0.2568396355031915</v>
      </c>
      <c r="K14" s="107">
        <f>J14*L14</f>
        <v>0.241429257373</v>
      </c>
      <c r="L14" s="127">
        <v>0.94</v>
      </c>
      <c r="M14" s="133"/>
      <c r="N14" s="138"/>
      <c r="O14" s="139" t="s">
        <v>98</v>
      </c>
      <c r="P14" s="123">
        <v>0</v>
      </c>
      <c r="Q14" s="123">
        <v>0</v>
      </c>
      <c r="R14" s="123">
        <v>0</v>
      </c>
      <c r="S14" s="123">
        <v>0</v>
      </c>
      <c r="T14" s="123">
        <v>0</v>
      </c>
      <c r="U14" s="123">
        <v>0</v>
      </c>
      <c r="V14" s="124">
        <v>0</v>
      </c>
      <c r="W14" s="114">
        <f t="shared" si="1"/>
        <v>0</v>
      </c>
      <c r="Y14" s="115"/>
    </row>
    <row r="15" spans="1:25" ht="14.4" thickBot="1" x14ac:dyDescent="0.35">
      <c r="A15" s="104">
        <v>12</v>
      </c>
      <c r="B15" s="140" t="s">
        <v>69</v>
      </c>
      <c r="C15" s="131"/>
      <c r="D15" s="132">
        <v>0</v>
      </c>
      <c r="E15" s="106">
        <f>Recieving!P34</f>
        <v>0</v>
      </c>
      <c r="F15" s="106">
        <f t="shared" si="2"/>
        <v>0</v>
      </c>
      <c r="G15" s="107">
        <f>'Issue '!I35</f>
        <v>0</v>
      </c>
      <c r="H15" s="106">
        <f t="shared" si="3"/>
        <v>0</v>
      </c>
      <c r="I15" s="107">
        <f t="shared" si="4"/>
        <v>0</v>
      </c>
      <c r="J15" s="107">
        <f t="shared" si="0"/>
        <v>0</v>
      </c>
      <c r="K15" s="107">
        <f t="shared" si="5"/>
        <v>0</v>
      </c>
      <c r="L15" s="127">
        <v>0.68</v>
      </c>
      <c r="M15" s="335"/>
      <c r="N15" s="134"/>
      <c r="O15" s="139" t="s">
        <v>69</v>
      </c>
      <c r="P15" s="123">
        <v>0</v>
      </c>
      <c r="Q15" s="123">
        <v>0</v>
      </c>
      <c r="R15" s="123">
        <v>0</v>
      </c>
      <c r="S15" s="123">
        <v>0</v>
      </c>
      <c r="T15" s="123">
        <v>0</v>
      </c>
      <c r="U15" s="123">
        <v>0</v>
      </c>
      <c r="V15" s="124">
        <v>0</v>
      </c>
      <c r="W15" s="114">
        <f t="shared" si="1"/>
        <v>0</v>
      </c>
      <c r="Y15" s="115"/>
    </row>
    <row r="16" spans="1:25" ht="14.4" thickBot="1" x14ac:dyDescent="0.35">
      <c r="A16" s="104">
        <v>13</v>
      </c>
      <c r="B16" s="337" t="s">
        <v>99</v>
      </c>
      <c r="C16" s="337"/>
      <c r="D16" s="126">
        <v>12.349999999999966</v>
      </c>
      <c r="E16" s="106">
        <f>Recieving!O34</f>
        <v>157.63</v>
      </c>
      <c r="F16" s="106">
        <f>(D16+E16)</f>
        <v>169.97999999999996</v>
      </c>
      <c r="G16" s="107">
        <f>'Issue '!H35</f>
        <v>130</v>
      </c>
      <c r="H16" s="106">
        <f t="shared" si="3"/>
        <v>39.979999999999961</v>
      </c>
      <c r="I16" s="107">
        <f t="shared" si="4"/>
        <v>2.25</v>
      </c>
      <c r="J16" s="107">
        <f t="shared" si="0"/>
        <v>1.7291119945838891</v>
      </c>
      <c r="K16" s="107">
        <f>J16*L16</f>
        <v>1.1868624730823816</v>
      </c>
      <c r="L16" s="141">
        <v>0.68640000000000001</v>
      </c>
      <c r="M16" s="133"/>
      <c r="N16" s="134"/>
      <c r="O16" s="121" t="s">
        <v>100</v>
      </c>
      <c r="P16" s="123">
        <v>3</v>
      </c>
      <c r="Q16" s="123">
        <v>2</v>
      </c>
      <c r="R16" s="123">
        <v>2</v>
      </c>
      <c r="S16" s="123">
        <v>0</v>
      </c>
      <c r="T16" s="123">
        <v>0</v>
      </c>
      <c r="U16" s="123">
        <v>0</v>
      </c>
      <c r="V16" s="124">
        <v>0</v>
      </c>
      <c r="W16" s="142">
        <f t="shared" si="1"/>
        <v>2.25</v>
      </c>
      <c r="Y16" s="115"/>
    </row>
    <row r="17" spans="1:26" s="152" customFormat="1" ht="15" customHeight="1" thickBot="1" x14ac:dyDescent="0.35">
      <c r="A17" s="104">
        <v>14</v>
      </c>
      <c r="B17" s="351" t="s">
        <v>16</v>
      </c>
      <c r="C17" s="351"/>
      <c r="D17" s="143">
        <f t="shared" ref="D17:J17" si="6">SUM(D4:D16)</f>
        <v>2059.9539999999997</v>
      </c>
      <c r="E17" s="144">
        <f t="shared" si="6"/>
        <v>8066.62</v>
      </c>
      <c r="F17" s="144">
        <f t="shared" si="6"/>
        <v>10126.573999999999</v>
      </c>
      <c r="G17" s="144">
        <f t="shared" si="6"/>
        <v>7518.31</v>
      </c>
      <c r="H17" s="144">
        <f t="shared" si="6"/>
        <v>2598.0439999999999</v>
      </c>
      <c r="I17" s="145">
        <f t="shared" si="6"/>
        <v>100</v>
      </c>
      <c r="J17" s="146">
        <f t="shared" si="6"/>
        <v>100</v>
      </c>
      <c r="K17" s="147">
        <f>SUM(K4:K16)</f>
        <v>85.798614766796319</v>
      </c>
      <c r="L17" s="352" t="s">
        <v>101</v>
      </c>
      <c r="M17" s="353"/>
      <c r="N17" s="148"/>
      <c r="O17" s="149" t="s">
        <v>16</v>
      </c>
      <c r="P17" s="150">
        <f t="shared" ref="P17:U17" si="7">SUM(P4:P16)</f>
        <v>100</v>
      </c>
      <c r="Q17" s="150">
        <f t="shared" si="7"/>
        <v>100</v>
      </c>
      <c r="R17" s="150">
        <f>SUM(R4:R16)</f>
        <v>100</v>
      </c>
      <c r="S17" s="150">
        <f t="shared" si="7"/>
        <v>0</v>
      </c>
      <c r="T17" s="150">
        <f t="shared" si="7"/>
        <v>0</v>
      </c>
      <c r="U17" s="150">
        <f t="shared" si="7"/>
        <v>0</v>
      </c>
      <c r="V17" s="151">
        <v>0</v>
      </c>
      <c r="W17" s="142">
        <f>SUM(W4:W16)</f>
        <v>100</v>
      </c>
    </row>
    <row r="18" spans="1:26" s="152" customFormat="1" ht="15" customHeight="1" thickBot="1" x14ac:dyDescent="0.35">
      <c r="A18" s="104"/>
      <c r="B18" s="153"/>
      <c r="C18" s="153"/>
      <c r="D18" s="143"/>
      <c r="E18" s="144"/>
      <c r="F18" s="144"/>
      <c r="G18" s="144"/>
      <c r="H18" s="144"/>
      <c r="I18" s="145"/>
      <c r="J18" s="146"/>
      <c r="K18" s="147"/>
      <c r="L18" s="154"/>
      <c r="M18" s="155"/>
      <c r="N18" s="148"/>
      <c r="O18" s="156"/>
      <c r="P18" s="157"/>
      <c r="Q18" s="157"/>
      <c r="R18" s="157"/>
      <c r="S18" s="157"/>
      <c r="T18" s="157"/>
      <c r="U18" s="157"/>
      <c r="V18" s="158"/>
      <c r="W18" s="142"/>
    </row>
    <row r="19" spans="1:26" s="152" customFormat="1" ht="15" customHeight="1" thickBot="1" x14ac:dyDescent="0.35">
      <c r="A19" s="104"/>
      <c r="B19" s="337" t="s">
        <v>17</v>
      </c>
      <c r="C19" s="337"/>
      <c r="D19" s="159">
        <v>0</v>
      </c>
      <c r="E19" s="144">
        <f>Recieving!R34</f>
        <v>87.72999999999999</v>
      </c>
      <c r="F19" s="144">
        <f>D19+E19</f>
        <v>87.72999999999999</v>
      </c>
      <c r="G19" s="144">
        <f>'Issue '!U35</f>
        <v>87.72999999999999</v>
      </c>
      <c r="H19" s="144">
        <f>F19-G19</f>
        <v>0</v>
      </c>
      <c r="I19" s="145"/>
      <c r="J19" s="160">
        <f>(G19/$M$28)*100</f>
        <v>1.3568504242922157</v>
      </c>
      <c r="K19" s="161"/>
      <c r="L19" s="154"/>
      <c r="M19" s="155"/>
      <c r="N19" s="148"/>
      <c r="O19" s="156"/>
      <c r="P19" s="157"/>
      <c r="Q19" s="157"/>
      <c r="R19" s="157"/>
      <c r="S19" s="157"/>
      <c r="T19" s="157"/>
      <c r="U19" s="157"/>
      <c r="V19" s="158"/>
      <c r="W19" s="142"/>
    </row>
    <row r="20" spans="1:26" ht="16.2" thickBot="1" x14ac:dyDescent="0.35">
      <c r="A20" s="104">
        <v>16</v>
      </c>
      <c r="B20" s="337" t="s">
        <v>102</v>
      </c>
      <c r="C20" s="337"/>
      <c r="D20" s="159">
        <v>0</v>
      </c>
      <c r="E20" s="159">
        <f>Recieving!S34</f>
        <v>66.009999999999991</v>
      </c>
      <c r="F20" s="159">
        <f>(D20+E20)</f>
        <v>66.009999999999991</v>
      </c>
      <c r="G20" s="159">
        <f>'Issue '!Z35</f>
        <v>66.009999999999991</v>
      </c>
      <c r="H20" s="159">
        <f>F20-G20</f>
        <v>0</v>
      </c>
      <c r="I20" s="162">
        <f>W20</f>
        <v>0</v>
      </c>
      <c r="J20" s="107">
        <f>(G20/$G$17)*100</f>
        <v>0.87798986740371154</v>
      </c>
      <c r="K20" s="107">
        <f>J20*L20</f>
        <v>0</v>
      </c>
      <c r="L20" s="163"/>
      <c r="M20" s="164"/>
      <c r="N20" s="134"/>
      <c r="O20" s="165" t="s">
        <v>103</v>
      </c>
      <c r="P20" s="166">
        <v>0</v>
      </c>
      <c r="Q20" s="166">
        <v>0</v>
      </c>
      <c r="R20" s="166">
        <v>0</v>
      </c>
      <c r="S20" s="166">
        <v>0</v>
      </c>
      <c r="T20" s="166">
        <v>0</v>
      </c>
      <c r="U20" s="166">
        <v>0</v>
      </c>
      <c r="V20" s="167">
        <v>0</v>
      </c>
      <c r="W20" s="142">
        <f>(P20*$P$22+Q20*$Q$22+R20*$R$22+S20*$S$22+T20*$T$22+U20*$U$22)/$W$22</f>
        <v>0</v>
      </c>
    </row>
    <row r="21" spans="1:26" ht="16.2" thickBot="1" x14ac:dyDescent="0.35">
      <c r="A21" s="168">
        <v>17</v>
      </c>
      <c r="B21" s="153" t="s">
        <v>57</v>
      </c>
      <c r="C21" s="153"/>
      <c r="D21" s="146">
        <v>132.87100000000001</v>
      </c>
      <c r="E21" s="146">
        <f>Recieving!T34</f>
        <v>0</v>
      </c>
      <c r="F21" s="146">
        <f>(D21+E21)</f>
        <v>132.87100000000001</v>
      </c>
      <c r="G21" s="146">
        <f>'Issue '!AA35</f>
        <v>44.5</v>
      </c>
      <c r="H21" s="169">
        <f>F21-G21</f>
        <v>88.371000000000009</v>
      </c>
      <c r="I21" s="170"/>
      <c r="J21" s="107">
        <f>(G21/$M$28)*100</f>
        <v>0.68824625420042862</v>
      </c>
      <c r="K21" s="160"/>
      <c r="L21" s="171"/>
      <c r="M21" s="172"/>
      <c r="N21" s="134"/>
      <c r="O21" s="173"/>
      <c r="P21" s="174"/>
      <c r="Q21" s="174"/>
      <c r="R21" s="174"/>
      <c r="S21" s="174"/>
      <c r="T21" s="174"/>
      <c r="U21" s="174"/>
      <c r="V21" s="175"/>
      <c r="W21" s="142"/>
    </row>
    <row r="22" spans="1:26" ht="19.95" customHeight="1" thickBot="1" x14ac:dyDescent="0.5">
      <c r="A22" s="354" t="s">
        <v>104</v>
      </c>
      <c r="B22" s="355"/>
      <c r="C22" s="355"/>
      <c r="D22" s="355"/>
      <c r="E22" s="355"/>
      <c r="F22" s="355"/>
      <c r="G22" s="355"/>
      <c r="H22" s="355"/>
      <c r="I22" s="356" t="s">
        <v>105</v>
      </c>
      <c r="J22" s="357"/>
      <c r="K22" s="357"/>
      <c r="L22" s="176">
        <f>C27/G17*100</f>
        <v>85.999499887607726</v>
      </c>
      <c r="M22" s="177">
        <f>+K17-L22</f>
        <v>-0.20088512081140664</v>
      </c>
      <c r="N22" s="136"/>
      <c r="O22" s="178" t="s">
        <v>106</v>
      </c>
      <c r="P22" s="179">
        <v>4</v>
      </c>
      <c r="Q22" s="179">
        <v>7</v>
      </c>
      <c r="R22" s="179">
        <v>5</v>
      </c>
      <c r="S22" s="179">
        <v>0</v>
      </c>
      <c r="T22" s="179">
        <v>0</v>
      </c>
      <c r="U22" s="179">
        <v>0</v>
      </c>
      <c r="V22" s="179">
        <v>0</v>
      </c>
      <c r="W22" s="180">
        <f>SUM(P22:V22)</f>
        <v>16</v>
      </c>
    </row>
    <row r="23" spans="1:26" ht="42" thickBot="1" x14ac:dyDescent="0.35">
      <c r="A23" s="95" t="s">
        <v>75</v>
      </c>
      <c r="B23" s="96" t="s">
        <v>107</v>
      </c>
      <c r="C23" s="96" t="s">
        <v>108</v>
      </c>
      <c r="D23" s="96" t="s">
        <v>109</v>
      </c>
      <c r="E23" s="96" t="s">
        <v>110</v>
      </c>
      <c r="F23" s="96" t="s">
        <v>111</v>
      </c>
      <c r="G23" s="96" t="s">
        <v>112</v>
      </c>
      <c r="H23" s="96" t="s">
        <v>113</v>
      </c>
      <c r="I23" s="96" t="s">
        <v>114</v>
      </c>
      <c r="J23" s="96" t="s">
        <v>115</v>
      </c>
      <c r="K23" s="96" t="s">
        <v>116</v>
      </c>
      <c r="L23" s="96" t="s">
        <v>117</v>
      </c>
      <c r="M23" s="181" t="s">
        <v>118</v>
      </c>
      <c r="N23" s="182"/>
      <c r="O23" s="349" t="s">
        <v>119</v>
      </c>
      <c r="P23" s="350"/>
      <c r="Q23" s="183" t="s">
        <v>120</v>
      </c>
      <c r="R23" s="358" t="s">
        <v>121</v>
      </c>
      <c r="S23" s="359"/>
      <c r="T23" s="360" t="s">
        <v>122</v>
      </c>
      <c r="U23" s="361"/>
      <c r="V23" s="184"/>
      <c r="Z23" s="185"/>
    </row>
    <row r="24" spans="1:26" ht="15" customHeight="1" x14ac:dyDescent="0.3">
      <c r="A24" s="186">
        <v>1</v>
      </c>
      <c r="B24" s="187" t="s">
        <v>123</v>
      </c>
      <c r="C24" s="188">
        <f>'Issue '!AB35</f>
        <v>4220464</v>
      </c>
      <c r="D24" s="189">
        <v>0.999</v>
      </c>
      <c r="E24" s="190">
        <f>C24/C27</f>
        <v>652.74573909837261</v>
      </c>
      <c r="F24" s="191">
        <f>T32</f>
        <v>660.19832909595914</v>
      </c>
      <c r="G24" s="192">
        <f>E24-F24</f>
        <v>-7.4525899975865286</v>
      </c>
      <c r="H24" s="193">
        <f>((C24/$P$1/24)/1000)/D24</f>
        <v>11.001793460126793</v>
      </c>
      <c r="I24" s="194">
        <f>Recieving!AD34</f>
        <v>12.91</v>
      </c>
      <c r="J24" s="195"/>
      <c r="K24" s="194">
        <f>H24/I24*100</f>
        <v>85.219159257372525</v>
      </c>
      <c r="L24" s="196"/>
      <c r="M24" s="197"/>
      <c r="N24" s="198"/>
      <c r="O24" s="199" t="s">
        <v>124</v>
      </c>
      <c r="P24" s="200">
        <f>Recieving!AB34</f>
        <v>13.208333333333334</v>
      </c>
      <c r="Q24" s="201"/>
      <c r="R24" s="362" t="s">
        <v>125</v>
      </c>
      <c r="S24" s="363"/>
      <c r="T24" s="364">
        <v>30</v>
      </c>
      <c r="U24" s="365"/>
      <c r="V24" s="184"/>
    </row>
    <row r="25" spans="1:26" x14ac:dyDescent="0.3">
      <c r="A25" s="186">
        <v>2</v>
      </c>
      <c r="B25" s="187" t="s">
        <v>126</v>
      </c>
      <c r="C25" s="188">
        <f>'Issue '!AC35+'Issue '!AD35</f>
        <v>426431</v>
      </c>
      <c r="D25" s="189">
        <v>0.999</v>
      </c>
      <c r="E25" s="202">
        <f>(C25/$C$27)</f>
        <v>65.952705264032133</v>
      </c>
      <c r="F25" s="191">
        <f>W43</f>
        <v>65.929170804427471</v>
      </c>
      <c r="G25" s="195">
        <f>E25-F25</f>
        <v>2.3534459604661606E-2</v>
      </c>
      <c r="H25" s="193">
        <f>((C25/$P$1/24)/1000)/D25</f>
        <v>1.1116090048381715</v>
      </c>
      <c r="I25" s="195">
        <v>0</v>
      </c>
      <c r="J25" s="195"/>
      <c r="K25" s="194">
        <f>H25/I26*100</f>
        <v>8.6104493016124835</v>
      </c>
      <c r="L25" s="196"/>
      <c r="M25" s="203"/>
      <c r="N25" s="204"/>
      <c r="O25" s="205" t="s">
        <v>127</v>
      </c>
      <c r="P25" s="206">
        <f>Recieving!AC34</f>
        <v>3170</v>
      </c>
      <c r="Q25" s="207">
        <v>1</v>
      </c>
      <c r="R25" s="366" t="s">
        <v>128</v>
      </c>
      <c r="S25" s="367"/>
      <c r="T25" s="368">
        <f>L22</f>
        <v>85.999499887607726</v>
      </c>
      <c r="U25" s="369"/>
      <c r="V25" s="208"/>
    </row>
    <row r="26" spans="1:26" x14ac:dyDescent="0.3">
      <c r="A26" s="209"/>
      <c r="B26" s="210" t="s">
        <v>78</v>
      </c>
      <c r="C26" s="211">
        <f>C24+C25</f>
        <v>4646895</v>
      </c>
      <c r="D26" s="212"/>
      <c r="E26" s="213">
        <f>SUM(E24:E25)</f>
        <v>718.69844436240476</v>
      </c>
      <c r="F26" s="214">
        <f>SUM(F24:F25)</f>
        <v>726.12749990038662</v>
      </c>
      <c r="G26" s="215">
        <f>SUM(G24:G25)</f>
        <v>-7.429055537981867</v>
      </c>
      <c r="H26" s="216">
        <f>SUM(H24:H25)</f>
        <v>12.113402464964965</v>
      </c>
      <c r="I26" s="215">
        <f>SUM(I24:I25)</f>
        <v>12.91</v>
      </c>
      <c r="J26" s="215">
        <v>90</v>
      </c>
      <c r="K26" s="215">
        <f>SUM(K24:K25)</f>
        <v>93.829608558985001</v>
      </c>
      <c r="L26" s="214">
        <f>T42</f>
        <v>393.37670538787268</v>
      </c>
      <c r="M26" s="217">
        <f>C27/P1</f>
        <v>404.10681250000005</v>
      </c>
      <c r="N26" s="218"/>
      <c r="O26" s="205" t="s">
        <v>129</v>
      </c>
      <c r="P26" s="206">
        <f>'Issue '!AD35</f>
        <v>50899</v>
      </c>
      <c r="Q26" s="207"/>
      <c r="R26" s="366" t="s">
        <v>130</v>
      </c>
      <c r="S26" s="367"/>
      <c r="T26" s="376" t="s">
        <v>131</v>
      </c>
      <c r="U26" s="377"/>
      <c r="V26" s="219"/>
    </row>
    <row r="27" spans="1:26" ht="14.4" thickBot="1" x14ac:dyDescent="0.35">
      <c r="A27" s="220"/>
      <c r="B27" s="221" t="s">
        <v>132</v>
      </c>
      <c r="C27" s="222">
        <f>'Issue '!T35</f>
        <v>6465.7090000000007</v>
      </c>
      <c r="D27" s="223"/>
      <c r="E27" s="224"/>
      <c r="F27" s="223"/>
      <c r="G27" s="223"/>
      <c r="H27" s="224"/>
      <c r="I27" s="225"/>
      <c r="J27" s="223"/>
      <c r="K27" s="226"/>
      <c r="L27" s="226"/>
      <c r="M27" s="227"/>
      <c r="N27" s="228"/>
      <c r="O27" s="229" t="s">
        <v>133</v>
      </c>
      <c r="P27" s="230">
        <f>P25/P24</f>
        <v>240</v>
      </c>
      <c r="Q27" s="207"/>
      <c r="R27" s="366" t="s">
        <v>134</v>
      </c>
      <c r="S27" s="367"/>
      <c r="T27" s="376" t="s">
        <v>135</v>
      </c>
      <c r="U27" s="377"/>
      <c r="V27" s="219"/>
    </row>
    <row r="28" spans="1:26" ht="27.6" customHeight="1" thickBot="1" x14ac:dyDescent="0.35">
      <c r="A28" s="231"/>
      <c r="B28" s="231"/>
      <c r="C28" s="231"/>
      <c r="D28" s="231"/>
      <c r="E28" s="231"/>
      <c r="F28" s="231"/>
      <c r="G28" s="231"/>
      <c r="H28" s="231"/>
      <c r="I28" s="231"/>
      <c r="J28" s="231"/>
      <c r="K28" s="232" t="s">
        <v>136</v>
      </c>
      <c r="L28" s="233">
        <f>+L26*W22</f>
        <v>6294.0272862059628</v>
      </c>
      <c r="M28" s="234">
        <f>+M26*W22</f>
        <v>6465.7090000000007</v>
      </c>
      <c r="N28" s="235"/>
      <c r="O28" s="236" t="s">
        <v>137</v>
      </c>
      <c r="P28" s="237">
        <f>P26/P25</f>
        <v>16.056466876971609</v>
      </c>
      <c r="Q28" s="207">
        <v>2</v>
      </c>
      <c r="R28" s="366" t="s">
        <v>138</v>
      </c>
      <c r="S28" s="367"/>
      <c r="T28" s="376">
        <v>455</v>
      </c>
      <c r="U28" s="377"/>
      <c r="V28" s="219"/>
    </row>
    <row r="29" spans="1:26" ht="14.4" thickBot="1" x14ac:dyDescent="0.35">
      <c r="A29" s="231"/>
      <c r="B29" s="238"/>
      <c r="C29" s="239"/>
      <c r="D29" s="240"/>
      <c r="E29" s="241"/>
      <c r="F29" s="242"/>
      <c r="G29" s="243"/>
      <c r="H29" s="243"/>
      <c r="I29" s="243"/>
      <c r="J29" s="231"/>
      <c r="K29" s="244"/>
      <c r="L29" s="245"/>
      <c r="M29" s="246"/>
      <c r="N29" s="247"/>
      <c r="Q29" s="207" t="s">
        <v>139</v>
      </c>
      <c r="R29" s="366" t="s">
        <v>140</v>
      </c>
      <c r="S29" s="367"/>
      <c r="T29" s="374">
        <f>((T28*(2-T25/100))/(T25/100))</f>
        <v>603.14568827641324</v>
      </c>
      <c r="U29" s="375"/>
      <c r="V29" s="248"/>
    </row>
    <row r="30" spans="1:26" ht="15" customHeight="1" x14ac:dyDescent="0.3">
      <c r="A30" s="231"/>
      <c r="B30" s="238"/>
      <c r="C30" s="239"/>
      <c r="D30" s="240"/>
      <c r="E30" s="241"/>
      <c r="F30" s="249"/>
      <c r="G30" s="243"/>
      <c r="H30" s="243"/>
      <c r="I30" s="231"/>
      <c r="J30" s="231"/>
      <c r="K30" s="250" t="s">
        <v>141</v>
      </c>
      <c r="L30" s="251">
        <f>L26*31</f>
        <v>12194.677867024053</v>
      </c>
      <c r="M30" s="252">
        <f>M26*31</f>
        <v>12527.311187500001</v>
      </c>
      <c r="N30" s="253"/>
      <c r="O30" s="378" t="s">
        <v>142</v>
      </c>
      <c r="P30" s="379"/>
      <c r="Q30" s="254" t="s">
        <v>143</v>
      </c>
      <c r="R30" s="366" t="s">
        <v>144</v>
      </c>
      <c r="S30" s="367"/>
      <c r="T30" s="380">
        <v>24</v>
      </c>
      <c r="U30" s="381"/>
      <c r="V30" s="248"/>
    </row>
    <row r="31" spans="1:26" ht="14.4" customHeight="1" thickBot="1" x14ac:dyDescent="0.35">
      <c r="A31" s="204"/>
      <c r="B31" s="238"/>
      <c r="C31" s="239"/>
      <c r="D31" s="136"/>
      <c r="E31" s="255"/>
      <c r="F31" s="256"/>
      <c r="G31" s="243"/>
      <c r="H31" s="255"/>
      <c r="I31" s="257"/>
      <c r="J31" s="218"/>
      <c r="K31" s="258" t="s">
        <v>145</v>
      </c>
      <c r="L31" s="370">
        <f>+L30-M30</f>
        <v>-332.63332047594849</v>
      </c>
      <c r="M31" s="371"/>
      <c r="N31" s="253"/>
      <c r="O31" s="259"/>
      <c r="P31" s="260"/>
      <c r="Q31" s="254"/>
      <c r="R31" s="372" t="s">
        <v>146</v>
      </c>
      <c r="S31" s="373"/>
      <c r="T31" s="374">
        <f>J5+J6</f>
        <v>33.052640819545879</v>
      </c>
      <c r="U31" s="375"/>
      <c r="V31" s="248"/>
    </row>
    <row r="32" spans="1:26" ht="36" customHeight="1" x14ac:dyDescent="0.3">
      <c r="A32" s="204"/>
      <c r="B32" s="261"/>
      <c r="C32" s="262"/>
      <c r="D32" s="136"/>
      <c r="E32" s="257"/>
      <c r="F32" s="136"/>
      <c r="G32" s="136"/>
      <c r="H32" s="257"/>
      <c r="I32" s="257"/>
      <c r="J32" s="136"/>
      <c r="K32" s="218"/>
      <c r="L32" s="263"/>
      <c r="M32" s="263"/>
      <c r="N32" s="264"/>
      <c r="O32" s="247" t="s">
        <v>77</v>
      </c>
      <c r="P32" s="130">
        <v>52646</v>
      </c>
      <c r="Q32" s="254" t="s">
        <v>147</v>
      </c>
      <c r="R32" s="366" t="s">
        <v>148</v>
      </c>
      <c r="S32" s="367"/>
      <c r="T32" s="382">
        <f>T29+T30+T31</f>
        <v>660.19832909595914</v>
      </c>
      <c r="U32" s="383"/>
      <c r="V32" s="248"/>
      <c r="W32" s="265"/>
    </row>
    <row r="33" spans="1:25" x14ac:dyDescent="0.3">
      <c r="A33" s="204"/>
      <c r="B33" s="238"/>
      <c r="C33" s="262"/>
      <c r="D33" s="136"/>
      <c r="E33" s="257"/>
      <c r="F33" s="136"/>
      <c r="G33" s="136"/>
      <c r="H33" s="257"/>
      <c r="I33" s="257"/>
      <c r="J33" s="136"/>
      <c r="K33" s="218"/>
      <c r="L33" s="92">
        <f>410*16</f>
        <v>6560</v>
      </c>
      <c r="N33" s="266"/>
      <c r="O33" s="247" t="s">
        <v>35</v>
      </c>
      <c r="P33" s="130">
        <f>Recieving!AE34</f>
        <v>104500</v>
      </c>
      <c r="Q33" s="254">
        <v>5</v>
      </c>
      <c r="R33" s="366" t="s">
        <v>149</v>
      </c>
      <c r="S33" s="367"/>
      <c r="T33" s="372">
        <v>16</v>
      </c>
      <c r="U33" s="384"/>
      <c r="V33" s="267"/>
    </row>
    <row r="34" spans="1:25" x14ac:dyDescent="0.3">
      <c r="A34" s="204"/>
      <c r="B34" s="238"/>
      <c r="C34" s="268"/>
      <c r="D34" s="136"/>
      <c r="E34" s="257"/>
      <c r="F34" s="136"/>
      <c r="G34" s="136"/>
      <c r="H34" s="257"/>
      <c r="I34" s="257"/>
      <c r="J34" s="136"/>
      <c r="K34" s="269"/>
      <c r="L34" s="271">
        <f>M28+L33</f>
        <v>13025.709000000001</v>
      </c>
      <c r="N34" s="152"/>
      <c r="O34" s="270" t="s">
        <v>36</v>
      </c>
      <c r="P34" s="130">
        <f>Recieving!AF34</f>
        <v>82600</v>
      </c>
      <c r="Q34" s="254">
        <v>6</v>
      </c>
      <c r="R34" s="366" t="s">
        <v>150</v>
      </c>
      <c r="S34" s="367"/>
      <c r="T34" s="385">
        <v>12000</v>
      </c>
      <c r="U34" s="386"/>
      <c r="V34" s="184"/>
    </row>
    <row r="35" spans="1:25" ht="15" thickBot="1" x14ac:dyDescent="0.35">
      <c r="A35" s="263"/>
      <c r="B35" s="263"/>
      <c r="C35" s="263"/>
      <c r="D35" s="263"/>
      <c r="E35" s="263"/>
      <c r="F35" s="263"/>
      <c r="G35" s="263"/>
      <c r="H35" s="263"/>
      <c r="I35" s="263"/>
      <c r="J35" s="263"/>
      <c r="K35" s="271"/>
      <c r="N35" s="152"/>
      <c r="O35" s="272" t="s">
        <v>151</v>
      </c>
      <c r="P35" s="273">
        <f>+P32+P33-P34</f>
        <v>74546</v>
      </c>
      <c r="Q35" s="254">
        <v>7</v>
      </c>
      <c r="R35" s="366" t="s">
        <v>152</v>
      </c>
      <c r="S35" s="367"/>
      <c r="T35" s="387">
        <v>0.9</v>
      </c>
      <c r="U35" s="388"/>
      <c r="V35" s="274"/>
    </row>
    <row r="36" spans="1:25" ht="15.75" customHeight="1" x14ac:dyDescent="0.3">
      <c r="L36" s="271"/>
      <c r="N36" s="152"/>
      <c r="O36" s="276" t="s">
        <v>153</v>
      </c>
      <c r="P36" s="277">
        <f>+P34/M28</f>
        <v>12.77508777459672</v>
      </c>
      <c r="Q36" s="207">
        <v>8</v>
      </c>
      <c r="R36" s="366" t="s">
        <v>154</v>
      </c>
      <c r="S36" s="367"/>
      <c r="T36" s="389">
        <f>(T34*T35)/(T32-T31)</f>
        <v>17.22087897898442</v>
      </c>
      <c r="U36" s="390"/>
      <c r="V36" s="278"/>
    </row>
    <row r="37" spans="1:25" ht="15.75" customHeight="1" x14ac:dyDescent="0.3">
      <c r="A37" s="279"/>
      <c r="B37" s="280"/>
      <c r="C37" s="279"/>
      <c r="D37" s="279"/>
      <c r="E37" s="281"/>
      <c r="F37" s="282"/>
      <c r="G37" s="279"/>
      <c r="H37" s="282"/>
      <c r="I37" s="282"/>
      <c r="J37" s="282"/>
      <c r="N37" s="152"/>
      <c r="O37" s="283" t="s">
        <v>155</v>
      </c>
      <c r="P37" s="284">
        <f>'Issue '!Y35</f>
        <v>8.3699999999999992</v>
      </c>
      <c r="Q37" s="254">
        <v>9</v>
      </c>
      <c r="R37" s="366" t="s">
        <v>156</v>
      </c>
      <c r="S37" s="367"/>
      <c r="T37" s="372">
        <v>34</v>
      </c>
      <c r="U37" s="384"/>
      <c r="V37" s="267"/>
    </row>
    <row r="38" spans="1:25" ht="17.399999999999999" customHeight="1" x14ac:dyDescent="0.3">
      <c r="A38" s="279"/>
      <c r="B38" s="280"/>
      <c r="C38" s="285"/>
      <c r="D38" s="286"/>
      <c r="E38" s="287"/>
      <c r="F38" s="288"/>
      <c r="G38" s="289"/>
      <c r="H38" s="282"/>
      <c r="I38" s="282"/>
      <c r="J38" s="282"/>
      <c r="L38" s="152"/>
      <c r="M38" s="152"/>
      <c r="O38" s="290" t="s">
        <v>157</v>
      </c>
      <c r="P38" s="291">
        <f>'Slag Crusher '!F34</f>
        <v>1404.7799999999997</v>
      </c>
      <c r="Q38" s="254">
        <v>10</v>
      </c>
      <c r="R38" s="366" t="s">
        <v>158</v>
      </c>
      <c r="S38" s="367"/>
      <c r="T38" s="392">
        <f>T37*60/T36</f>
        <v>118.46085222998916</v>
      </c>
      <c r="U38" s="393"/>
      <c r="V38" s="292"/>
      <c r="X38" s="293"/>
      <c r="Y38" s="294"/>
    </row>
    <row r="39" spans="1:25" ht="15" customHeight="1" x14ac:dyDescent="0.3">
      <c r="A39" s="152"/>
      <c r="B39" s="295"/>
      <c r="C39" s="296"/>
      <c r="D39" s="297"/>
      <c r="E39" s="152"/>
      <c r="F39" s="297"/>
      <c r="G39" s="297"/>
      <c r="H39" s="297"/>
      <c r="I39" s="296"/>
      <c r="J39" s="297"/>
      <c r="L39" s="297"/>
      <c r="M39" s="297"/>
      <c r="O39" s="290" t="s">
        <v>159</v>
      </c>
      <c r="P39" s="291">
        <f>'Slag Crusher '!H34</f>
        <v>157.63</v>
      </c>
      <c r="Q39" s="254">
        <v>11</v>
      </c>
      <c r="R39" s="399" t="s">
        <v>160</v>
      </c>
      <c r="S39" s="400"/>
      <c r="T39" s="374">
        <v>6</v>
      </c>
      <c r="U39" s="375"/>
      <c r="V39" s="292"/>
      <c r="X39" s="293"/>
      <c r="Y39" s="185"/>
    </row>
    <row r="40" spans="1:25" ht="18" customHeight="1" x14ac:dyDescent="0.3">
      <c r="A40" s="391"/>
      <c r="B40" s="298"/>
      <c r="C40" s="152"/>
      <c r="D40" s="152"/>
      <c r="E40" s="152"/>
      <c r="F40" s="152"/>
      <c r="G40" s="297"/>
      <c r="H40" s="297"/>
      <c r="I40" s="299"/>
      <c r="J40" s="152"/>
      <c r="L40" s="297"/>
      <c r="M40" s="299"/>
      <c r="O40" s="300" t="s">
        <v>161</v>
      </c>
      <c r="P40" s="301">
        <f>P39/P38*100</f>
        <v>11.220974102706476</v>
      </c>
      <c r="Q40" s="254">
        <v>12</v>
      </c>
      <c r="R40" s="366" t="s">
        <v>162</v>
      </c>
      <c r="S40" s="367"/>
      <c r="T40" s="392">
        <f>T39+T38</f>
        <v>124.46085222998916</v>
      </c>
      <c r="U40" s="393"/>
      <c r="V40" s="292"/>
    </row>
    <row r="41" spans="1:25" x14ac:dyDescent="0.3">
      <c r="A41" s="391"/>
      <c r="B41" s="295"/>
      <c r="C41" s="152"/>
      <c r="D41" s="297"/>
      <c r="E41" s="297"/>
      <c r="F41" s="302"/>
      <c r="G41" s="152"/>
      <c r="H41" s="299"/>
      <c r="I41" s="299"/>
      <c r="J41" s="299"/>
      <c r="K41" s="152"/>
      <c r="M41" s="271"/>
      <c r="Q41" s="207">
        <v>13</v>
      </c>
      <c r="R41" s="366" t="s">
        <v>163</v>
      </c>
      <c r="S41" s="367"/>
      <c r="T41" s="394">
        <f>24*60/T40</f>
        <v>11.569903099643314</v>
      </c>
      <c r="U41" s="395"/>
      <c r="V41" s="303"/>
    </row>
    <row r="42" spans="1:25" x14ac:dyDescent="0.3">
      <c r="A42" s="152"/>
      <c r="B42" s="295"/>
      <c r="C42" s="152"/>
      <c r="D42" s="304"/>
      <c r="E42" s="297"/>
      <c r="F42" s="296"/>
      <c r="G42" s="299"/>
      <c r="H42" s="152"/>
      <c r="I42" s="299"/>
      <c r="J42" s="152"/>
      <c r="K42" s="152"/>
      <c r="Q42" s="305">
        <v>14</v>
      </c>
      <c r="R42" s="366" t="s">
        <v>164</v>
      </c>
      <c r="S42" s="367"/>
      <c r="T42" s="374">
        <f>T41*T37</f>
        <v>393.37670538787268</v>
      </c>
      <c r="U42" s="375"/>
      <c r="V42" s="306"/>
      <c r="W42" s="185">
        <f>399*65</f>
        <v>25935</v>
      </c>
    </row>
    <row r="43" spans="1:25" ht="18" x14ac:dyDescent="0.35">
      <c r="A43" s="152"/>
      <c r="B43" s="295"/>
      <c r="C43" s="307"/>
      <c r="D43" s="307"/>
      <c r="E43" s="307"/>
      <c r="F43" s="308"/>
      <c r="G43" s="309"/>
      <c r="H43" s="152"/>
      <c r="I43" s="299"/>
      <c r="J43" s="299"/>
      <c r="K43" s="152"/>
      <c r="Q43" s="290">
        <v>15</v>
      </c>
      <c r="R43" s="396" t="s">
        <v>165</v>
      </c>
      <c r="S43" s="396"/>
      <c r="T43" s="397">
        <f>+T42*31</f>
        <v>12194.677867024053</v>
      </c>
      <c r="U43" s="398"/>
      <c r="W43" s="185">
        <f>W42/T42</f>
        <v>65.929170804427471</v>
      </c>
    </row>
    <row r="44" spans="1:25" ht="15" customHeight="1" x14ac:dyDescent="0.3">
      <c r="A44" s="152"/>
      <c r="B44" s="295"/>
      <c r="C44" s="297"/>
      <c r="D44" s="297"/>
      <c r="E44" s="297"/>
      <c r="F44" s="152"/>
      <c r="G44" s="152"/>
      <c r="H44" s="152"/>
      <c r="I44" s="152"/>
      <c r="J44" s="299"/>
      <c r="K44" s="152"/>
    </row>
    <row r="45" spans="1:25" ht="13.95" customHeight="1" x14ac:dyDescent="0.3">
      <c r="I45" s="271"/>
    </row>
    <row r="46" spans="1:25" ht="14.4" customHeight="1" x14ac:dyDescent="0.3"/>
    <row r="50" ht="15" customHeight="1" x14ac:dyDescent="0.3"/>
  </sheetData>
  <protectedRanges>
    <protectedRange sqref="K30:M31 N32:N46 A39:J53 K41:K53 L38:M50" name="Range4"/>
    <protectedRange sqref="V17:V19 P22:W22 P4:V16" name="Range3"/>
    <protectedRange sqref="P32" name="Range2"/>
  </protectedRanges>
  <mergeCells count="69">
    <mergeCell ref="R42:S42"/>
    <mergeCell ref="T42:U42"/>
    <mergeCell ref="R43:S43"/>
    <mergeCell ref="T43:U43"/>
    <mergeCell ref="R38:S38"/>
    <mergeCell ref="T38:U38"/>
    <mergeCell ref="R39:S39"/>
    <mergeCell ref="T39:U39"/>
    <mergeCell ref="A40:A41"/>
    <mergeCell ref="R40:S40"/>
    <mergeCell ref="T40:U40"/>
    <mergeCell ref="R41:S41"/>
    <mergeCell ref="T41:U41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L31:M31"/>
    <mergeCell ref="R31:S31"/>
    <mergeCell ref="T31:U31"/>
    <mergeCell ref="R26:S26"/>
    <mergeCell ref="T26:U26"/>
    <mergeCell ref="R27:S27"/>
    <mergeCell ref="T27:U27"/>
    <mergeCell ref="R28:S28"/>
    <mergeCell ref="T28:U28"/>
    <mergeCell ref="R29:S29"/>
    <mergeCell ref="T29:U29"/>
    <mergeCell ref="O30:P30"/>
    <mergeCell ref="R30:S30"/>
    <mergeCell ref="T30:U30"/>
    <mergeCell ref="R23:S23"/>
    <mergeCell ref="T23:U23"/>
    <mergeCell ref="R24:S24"/>
    <mergeCell ref="T24:U24"/>
    <mergeCell ref="R25:S25"/>
    <mergeCell ref="T25:U25"/>
    <mergeCell ref="O23:P23"/>
    <mergeCell ref="B11:C11"/>
    <mergeCell ref="B12:C12"/>
    <mergeCell ref="B13:C13"/>
    <mergeCell ref="B14:C14"/>
    <mergeCell ref="B16:C16"/>
    <mergeCell ref="B17:C17"/>
    <mergeCell ref="L17:M17"/>
    <mergeCell ref="B19:C19"/>
    <mergeCell ref="B20:C20"/>
    <mergeCell ref="A22:H22"/>
    <mergeCell ref="I22:K22"/>
    <mergeCell ref="B10:C10"/>
    <mergeCell ref="A1:M1"/>
    <mergeCell ref="N1:O1"/>
    <mergeCell ref="A2:L2"/>
    <mergeCell ref="O2:W2"/>
    <mergeCell ref="B3:C3"/>
    <mergeCell ref="B4:C4"/>
    <mergeCell ref="B5:C5"/>
    <mergeCell ref="B6:C6"/>
    <mergeCell ref="B7:C7"/>
    <mergeCell ref="B8:C8"/>
    <mergeCell ref="B9:C9"/>
  </mergeCells>
  <hyperlinks>
    <hyperlink ref="R1" r:id="rId1" xr:uid="{33E9CF68-42FF-49A8-AB83-6725587204D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BA63-4D34-46D9-BD42-D8FF28525E67}">
  <dimension ref="A1:D3"/>
  <sheetViews>
    <sheetView workbookViewId="0">
      <selection activeCell="R4" sqref="R4"/>
    </sheetView>
  </sheetViews>
  <sheetFormatPr defaultRowHeight="14.4" x14ac:dyDescent="0.3"/>
  <cols>
    <col min="2" max="2" width="16.21875" bestFit="1" customWidth="1"/>
    <col min="3" max="3" width="13.6640625" bestFit="1" customWidth="1"/>
    <col min="4" max="4" width="15.6640625" bestFit="1" customWidth="1"/>
  </cols>
  <sheetData>
    <row r="1" spans="1:4" x14ac:dyDescent="0.3">
      <c r="A1" s="418" t="s">
        <v>173</v>
      </c>
      <c r="B1" s="419"/>
      <c r="C1" s="419"/>
      <c r="D1" s="420"/>
    </row>
    <row r="2" spans="1:4" x14ac:dyDescent="0.3">
      <c r="A2" s="332" t="s">
        <v>174</v>
      </c>
      <c r="B2" s="332" t="s">
        <v>176</v>
      </c>
      <c r="C2" s="332" t="s">
        <v>175</v>
      </c>
      <c r="D2" s="332" t="s">
        <v>177</v>
      </c>
    </row>
    <row r="3" spans="1:4" x14ac:dyDescent="0.3">
      <c r="A3" s="334">
        <v>46296</v>
      </c>
      <c r="B3" s="333">
        <v>14220317.77</v>
      </c>
      <c r="C3" s="333">
        <f>B3-D3</f>
        <v>4299279.9399999995</v>
      </c>
      <c r="D3" s="333">
        <v>9921037.8300000001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Recieving</vt:lpstr>
      <vt:lpstr>Issue </vt:lpstr>
      <vt:lpstr>Slag Crusher </vt:lpstr>
      <vt:lpstr>Monthly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Kumar Kohroo</dc:creator>
  <cp:lastModifiedBy>Santosh Kumar Kohroo</cp:lastModifiedBy>
  <dcterms:created xsi:type="dcterms:W3CDTF">2026-10-02T05:46:19Z</dcterms:created>
  <dcterms:modified xsi:type="dcterms:W3CDTF">2026-10-17T04:40:57Z</dcterms:modified>
</cp:coreProperties>
</file>