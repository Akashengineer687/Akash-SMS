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132" documentId="8_{F6257940-2707-4767-AB16-D25E8A965689}" xr6:coauthVersionLast="47" xr6:coauthVersionMax="47" xr10:uidLastSave="{01EBDB7B-9248-4BB1-A71D-99818813BB4A}"/>
  <bookViews>
    <workbookView xWindow="-108" yWindow="-108" windowWidth="23256" windowHeight="12456" activeTab="4" xr2:uid="{BD6C12AA-076B-4CCA-BEC8-98FFE12ED1B5}"/>
  </bookViews>
  <sheets>
    <sheet name="Q2 Consumption Summary " sheetId="3" r:id="rId1"/>
    <sheet name="SMS Q2 CONSUMPTION REPORT" sheetId="1" r:id="rId2"/>
    <sheet name="Capex " sheetId="2" r:id="rId3"/>
    <sheet name="Q2 SRN Summary" sheetId="4" r:id="rId4"/>
    <sheet name="PROD-IF" sheetId="5" r:id="rId5"/>
  </sheets>
  <externalReferences>
    <externalReference r:id="rId6"/>
  </externalReferences>
  <definedNames>
    <definedName name="_xlnm._FilterDatabase" localSheetId="1" hidden="1">'SMS Q2 CONSUMPTION REPORT'!$A$6:$H$1051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4" l="1"/>
  <c r="H18" i="4"/>
  <c r="M31" i="5" l="1"/>
  <c r="M35" i="5"/>
  <c r="M36" i="5"/>
  <c r="M42" i="5"/>
  <c r="M43" i="5"/>
  <c r="M5" i="5"/>
  <c r="L7" i="5"/>
  <c r="M7" i="5" s="1"/>
  <c r="L8" i="5"/>
  <c r="M8" i="5" s="1"/>
  <c r="L9" i="5"/>
  <c r="M9" i="5" s="1"/>
  <c r="L10" i="5"/>
  <c r="L11" i="5"/>
  <c r="M11" i="5" s="1"/>
  <c r="L12" i="5"/>
  <c r="L13" i="5"/>
  <c r="M13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8" i="5"/>
  <c r="L29" i="5"/>
  <c r="M29" i="5" s="1"/>
  <c r="L31" i="5"/>
  <c r="L32" i="5"/>
  <c r="L35" i="5"/>
  <c r="L36" i="5"/>
  <c r="L37" i="5"/>
  <c r="M37" i="5" s="1"/>
  <c r="L38" i="5"/>
  <c r="M38" i="5" s="1"/>
  <c r="L39" i="5"/>
  <c r="M39" i="5" s="1"/>
  <c r="L42" i="5"/>
  <c r="L43" i="5"/>
  <c r="L46" i="5"/>
  <c r="M46" i="5" s="1"/>
  <c r="K45" i="5"/>
  <c r="L45" i="5" s="1"/>
  <c r="K44" i="5"/>
  <c r="L44" i="5" s="1"/>
  <c r="K41" i="5"/>
  <c r="L41" i="5" s="1"/>
  <c r="M41" i="5" s="1"/>
  <c r="K40" i="5"/>
  <c r="L40" i="5" s="1"/>
  <c r="M40" i="5" s="1"/>
  <c r="K38" i="5"/>
  <c r="K34" i="5"/>
  <c r="L34" i="5" s="1"/>
  <c r="K33" i="5"/>
  <c r="L33" i="5" s="1"/>
  <c r="K30" i="5"/>
  <c r="L30" i="5" s="1"/>
  <c r="M30" i="5" s="1"/>
  <c r="K28" i="5"/>
  <c r="K27" i="5"/>
  <c r="L27" i="5" s="1"/>
  <c r="K15" i="5"/>
  <c r="L15" i="5" s="1"/>
  <c r="M15" i="5" s="1"/>
  <c r="K14" i="5"/>
  <c r="L14" i="5" s="1"/>
  <c r="K6" i="5" l="1"/>
  <c r="L6" i="5" s="1"/>
  <c r="H10" i="5" l="1"/>
  <c r="I10" i="5" s="1"/>
  <c r="M10" i="5" s="1"/>
  <c r="H14" i="5"/>
  <c r="I14" i="5" s="1"/>
  <c r="M14" i="5" s="1"/>
  <c r="F3" i="5"/>
  <c r="F2" i="5"/>
  <c r="H32" i="5"/>
  <c r="I32" i="5" s="1"/>
  <c r="M32" i="5" s="1"/>
  <c r="H33" i="5"/>
  <c r="I33" i="5" s="1"/>
  <c r="M33" i="5" s="1"/>
  <c r="G12" i="5"/>
  <c r="H12" i="5" s="1"/>
  <c r="H45" i="5"/>
  <c r="I45" i="5" s="1"/>
  <c r="M45" i="5" s="1"/>
  <c r="H27" i="5"/>
  <c r="I12" i="5" l="1"/>
  <c r="M12" i="5" s="1"/>
  <c r="I27" i="5"/>
  <c r="M27" i="5" s="1"/>
  <c r="H28" i="5" l="1"/>
  <c r="H6" i="5"/>
  <c r="H44" i="5"/>
  <c r="I44" i="5" s="1"/>
  <c r="M44" i="5" s="1"/>
  <c r="H34" i="5"/>
  <c r="I28" i="5" l="1"/>
  <c r="M28" i="5" s="1"/>
  <c r="I6" i="5"/>
  <c r="M6" i="5" s="1"/>
  <c r="M3" i="5" s="1"/>
  <c r="I34" i="5"/>
  <c r="M34" i="5" s="1"/>
  <c r="H19" i="4"/>
  <c r="I19" i="4"/>
  <c r="I18" i="4"/>
  <c r="I12" i="4"/>
  <c r="I10" i="4"/>
  <c r="I9" i="4"/>
  <c r="I2" i="4"/>
  <c r="F18" i="4"/>
  <c r="H2" i="4"/>
  <c r="G12" i="4"/>
  <c r="H12" i="4" s="1"/>
  <c r="F12" i="4"/>
  <c r="F10" i="4"/>
  <c r="H10" i="4" s="1"/>
  <c r="F9" i="4"/>
  <c r="H9" i="4" s="1"/>
  <c r="F2" i="4"/>
  <c r="E2" i="4"/>
  <c r="E12" i="4"/>
  <c r="E10" i="4"/>
  <c r="E9" i="4"/>
  <c r="E27" i="3"/>
  <c r="D27" i="3"/>
  <c r="I3" i="5" l="1"/>
  <c r="L3" i="5"/>
  <c r="E19" i="4"/>
  <c r="C26" i="3"/>
  <c r="E26" i="3" s="1"/>
  <c r="E18" i="3"/>
  <c r="E19" i="3"/>
  <c r="E20" i="3"/>
  <c r="E21" i="3"/>
  <c r="E22" i="3"/>
  <c r="E23" i="3"/>
  <c r="E24" i="3"/>
  <c r="E25" i="3"/>
  <c r="E17" i="3"/>
  <c r="C27" i="3" l="1"/>
</calcChain>
</file>

<file path=xl/sharedStrings.xml><?xml version="1.0" encoding="utf-8"?>
<sst xmlns="http://schemas.openxmlformats.org/spreadsheetml/2006/main" count="5523" uniqueCount="1914">
  <si>
    <t>MARUTI ISPAT AND PIPES PRIVATE LIMITED</t>
  </si>
  <si>
    <t>Printed On :08-OCT-26</t>
  </si>
  <si>
    <t>CONSUMPTION SUMMARY ENGINE</t>
  </si>
  <si>
    <t xml:space="preserve"> Period from 01-JUL-26 to 30-SEP-26</t>
  </si>
  <si>
    <t xml:space="preserve">This report has been filtered on  Division : SMDivision Code </t>
  </si>
  <si>
    <t xml:space="preserve">Department Name </t>
  </si>
  <si>
    <t>Division Code</t>
  </si>
  <si>
    <t>Department Name</t>
  </si>
  <si>
    <t>Item Code</t>
  </si>
  <si>
    <t>Item Name</t>
  </si>
  <si>
    <t>Stock Type</t>
  </si>
  <si>
    <t>UM</t>
  </si>
  <si>
    <t>Consumption Qty</t>
  </si>
  <si>
    <t>Consumption Rate</t>
  </si>
  <si>
    <t>Consumption Value</t>
  </si>
  <si>
    <t>SM</t>
  </si>
  <si>
    <t>AUTOMOBILE -SMS</t>
  </si>
  <si>
    <t>S08080338</t>
  </si>
  <si>
    <t>GRUB SCREW 6 X 10 MM</t>
  </si>
  <si>
    <t>NOS</t>
  </si>
  <si>
    <t>S11010247</t>
  </si>
  <si>
    <t>CABIN CONTROL VALVE ASSEMBLY-IPH F4D01714</t>
  </si>
  <si>
    <t>S11010249</t>
  </si>
  <si>
    <t>HORN 24V,DC</t>
  </si>
  <si>
    <t>S11010993</t>
  </si>
  <si>
    <t>Tube 6.00 X 16</t>
  </si>
  <si>
    <t>S11011123</t>
  </si>
  <si>
    <t>Pad Lock 65 mm</t>
  </si>
  <si>
    <t>S11011511</t>
  </si>
  <si>
    <t>CLUTCH COVER ASSY 380D 3F, PN: B1M05301, FOR TIPPER 2518 MODEL</t>
  </si>
  <si>
    <t>S11011516</t>
  </si>
  <si>
    <t>57CC PTO AND PUMP ASSY - ALGB940, PN: B9H00801, FOR TIPPER 2518 MODEL</t>
  </si>
  <si>
    <t>S11011625</t>
  </si>
  <si>
    <t>ADBLUE LUBRICANT, 20 LTR, GULF, FOR NEW TIPPERS</t>
  </si>
  <si>
    <t>S11011641</t>
  </si>
  <si>
    <t>HEAVY DUTY CAR WASHING 3 PISTON PUMP WITHOUT MOTOR, FOR ALL VEHICLE</t>
  </si>
  <si>
    <t>S11011722</t>
  </si>
  <si>
    <t>FUEL FILTER - FUEL WATER SEPARATOR, PN : FHJ01400, FOR TIPPER</t>
  </si>
  <si>
    <t>S11011747</t>
  </si>
  <si>
    <t>ELEMENT INNER, PN : D10400240, FOR NEW HYDRA - 14 TON</t>
  </si>
  <si>
    <t>S11011748</t>
  </si>
  <si>
    <t>ELEMENT OUTER, PN : D10400230, FOR NEW HYDRA - 14 TON</t>
  </si>
  <si>
    <t>S11011751</t>
  </si>
  <si>
    <t>HYDRAULIC OIL FILTER, PN : TIF-08.25, FOR NEW HYDRA - 14 TON</t>
  </si>
  <si>
    <t>S11011880</t>
  </si>
  <si>
    <t>HOSE, PN : WL10675C6087, FOR L &amp; T LOADER</t>
  </si>
  <si>
    <t>S11011909</t>
  </si>
  <si>
    <t>CLUTCH CYLINDER BIG,  FOR TIPPER 2518</t>
  </si>
  <si>
    <t>S11012026</t>
  </si>
  <si>
    <t>WINCH ROPE - 13DIA/90MT (ANTITWIST), PN:22-C-3-050C, FOR HYDRA 14 TON</t>
  </si>
  <si>
    <t>S11012072</t>
  </si>
  <si>
    <t>BREATHER, PN: 60186788, FOR SANY 140 EXCAVATOR</t>
  </si>
  <si>
    <t>S11012079</t>
  </si>
  <si>
    <t>SHAFT SLEEVE, PN: A820202005381, FOR SANY 140 EXCAVATOR</t>
  </si>
  <si>
    <t>S11012099</t>
  </si>
  <si>
    <t>RUBBER HOSE, PN : 60340172, FOR SANY 245 EXCAVATOR</t>
  </si>
  <si>
    <t>S11012130</t>
  </si>
  <si>
    <t>RUBBER HOSE, PN: B230103000899, FOR SANY 140 EXCAVATOR</t>
  </si>
  <si>
    <t>S11012131</t>
  </si>
  <si>
    <t>HOSE AS, PN: B230103001633, FOR SANY 140 EXCAVATOR</t>
  </si>
  <si>
    <t>S11012139</t>
  </si>
  <si>
    <t>BELT FRONT DRIVE, PN: 60323086, FOR SANY 140 EXCAVATOR</t>
  </si>
  <si>
    <t>S11012191</t>
  </si>
  <si>
    <t>MOTOR STARTING, PN: 60323087, FOR SANY 140 EXCAVATOR</t>
  </si>
  <si>
    <t>S11012199</t>
  </si>
  <si>
    <t>HOSE KIT ASSEMBLY, FOR SANY 245 EXCAVATOR</t>
  </si>
  <si>
    <t>S11012200</t>
  </si>
  <si>
    <t>MAIN PIN, FOR SANY 245 EXCAVATOR</t>
  </si>
  <si>
    <t>S11012201</t>
  </si>
  <si>
    <t>CYLINDER MOUNTING PIN BOTTOM, FOR SANY 245 EXCAVATOR</t>
  </si>
  <si>
    <t>S11012202</t>
  </si>
  <si>
    <t>CYLINDER MOUNTING PIN TOP, FOR SANY 245 EXCAVATOR</t>
  </si>
  <si>
    <t>S11012203</t>
  </si>
  <si>
    <t>BUSH  FOR SANY 245 EXCAVATOR</t>
  </si>
  <si>
    <t>S11012300</t>
  </si>
  <si>
    <t>AIR FILTER OUTER, PN: 2868468, FOR SANY 245</t>
  </si>
  <si>
    <t>S11012301</t>
  </si>
  <si>
    <t>AIR FILTER INNER, PN: 3814133, FOR SANY 245</t>
  </si>
  <si>
    <t>S11012302</t>
  </si>
  <si>
    <t>HYD RETURN FILTER, PN:66200365, FOR SANY 245</t>
  </si>
  <si>
    <t>S11012303</t>
  </si>
  <si>
    <t>HYD SUCTION FILTER, PN:60200363, FOR SANY 245</t>
  </si>
  <si>
    <t>S11012307</t>
  </si>
  <si>
    <t>COOLANT 10 L, PN:A42999900000195P, FOR SANY 245</t>
  </si>
  <si>
    <t>S11012355</t>
  </si>
  <si>
    <t>FILTER HYD TANK BREATHER, PN: 60174894, FOR SANY 140 EXCAVATOR</t>
  </si>
  <si>
    <t>S11012377</t>
  </si>
  <si>
    <t>FUSE, PN: A241300000016, FOR SANY 140 EXCAVATOR</t>
  </si>
  <si>
    <t>S11012378</t>
  </si>
  <si>
    <t>FUSE, PN: A241300000017, FOR SANY 140 EXCAVATOR</t>
  </si>
  <si>
    <t>S11012379</t>
  </si>
  <si>
    <t>FUSE, PN: A241300000018, FOR SANY 140 EXCAVATOR</t>
  </si>
  <si>
    <t>S11012380</t>
  </si>
  <si>
    <t>FUSE, PN: A241300000019, FOR SANY 140 EXCAVATOR</t>
  </si>
  <si>
    <t>S11012421</t>
  </si>
  <si>
    <t>HOSE ASSEMBLY FOR 0.6CBM, LENGTH- 600MM (90xST), PNO (SKU):AE--HSE-4SP-1/2-IXL600</t>
  </si>
  <si>
    <t>S11012423</t>
  </si>
  <si>
    <t>HOSE ASSEMBLY FOR 0.6CBM  GRABBER LENGTH- 600MM (90X90)PN:(SKU):AE-HSE-4SP-1/2-LXL600</t>
  </si>
  <si>
    <t>S11012452</t>
  </si>
  <si>
    <t>GEAR OIL GO140 (5 LTR), PN: R31241145.1022, FOR PC 71 EXCAVATOR</t>
  </si>
  <si>
    <t>S11012454</t>
  </si>
  <si>
    <t>SINGLE MASTER CYLINDER,PN ; 8V1949807100, FOR HYDRA 14 TON</t>
  </si>
  <si>
    <t>S11012455</t>
  </si>
  <si>
    <t>MAJOR KIT REPAIR, PN: 29966901, FOR HYDRA 14  TON</t>
  </si>
  <si>
    <t>S11012598</t>
  </si>
  <si>
    <t>VALVE MAINTAINING: PART NO :60000736, For SANY 245</t>
  </si>
  <si>
    <t>S11012612</t>
  </si>
  <si>
    <t>HOSE ASSY 1/4 : PART NO :VMT 500 , For SANY 245 EXCAVATOR</t>
  </si>
  <si>
    <t>S11012614</t>
  </si>
  <si>
    <t>HOSE ASSY HYDRAULC GRABBER EXA,CAPACITY-0.6 M3,Pn:AE-HA38-T2-430: For SANY 245</t>
  </si>
  <si>
    <t>S11012633</t>
  </si>
  <si>
    <t>CYLINDER REAR CLEVIS PIN, PN: AE-GM12A-00-006-A, For SANY 245 EXCAVATOR</t>
  </si>
  <si>
    <t>S11012708</t>
  </si>
  <si>
    <t>STEERING PUMP 16 LPM ZFH ENG, PN:X0E04700, FOR SANY TIPPER  BS 6.</t>
  </si>
  <si>
    <t>S11012709</t>
  </si>
  <si>
    <t>GULF POWER STEERING FLUID DURA MAX, PN:P9999999, FOR TIPPER BS 6.</t>
  </si>
  <si>
    <t>S11012712</t>
  </si>
  <si>
    <t>DEF TANK SUCTION FILTER 24L, PN: XFZ00200, FOR TIPPER</t>
  </si>
  <si>
    <t>S11012725</t>
  </si>
  <si>
    <t>SUCTION HOSE, PN: 12841180, FOR SANY 245 EXCAVATOR.</t>
  </si>
  <si>
    <t>S11012729</t>
  </si>
  <si>
    <t>RUBBER HOSE, PN: B230103002695, FOR SANY 245 EXCAVATOR.</t>
  </si>
  <si>
    <t>S11012737</t>
  </si>
  <si>
    <t>CLUTCH RELEASE BRG ASSY 3800 1.755PL, PN: FVB00700, FOR TIPPER BS 6</t>
  </si>
  <si>
    <t>S11012793</t>
  </si>
  <si>
    <t>HEAD LAMP ASSEMBLY, PN: 7200159, FOR HYDRA 14 TON ESCORTS.</t>
  </si>
  <si>
    <t>S11012809</t>
  </si>
  <si>
    <t>STICK NOSE, FOR KOMATSU PC-71 EXCAVATOR.</t>
  </si>
  <si>
    <t>S11012821</t>
  </si>
  <si>
    <t>HYDRAULIC HOSE ASSEMBLY, PN: B230103002294, FOR SANY 245 EXCAVATOR</t>
  </si>
  <si>
    <t>S11012943</t>
  </si>
  <si>
    <t>FILTER KIT (500Hrs), PN: KF210500C, FOR SANY 245 EXCAVATOR.</t>
  </si>
  <si>
    <t>S11012950</t>
  </si>
  <si>
    <t>BOOM CYLINDER BTM PIN, FOR STATIONARY CRANE.</t>
  </si>
  <si>
    <t>S11012951</t>
  </si>
  <si>
    <t>BOOM CYLINDER  BTM BUSH, FOR STATIONARY CRANE.</t>
  </si>
  <si>
    <t>S11012977</t>
  </si>
  <si>
    <t>BOOM CYLINDER FOOT BUSH, FOR STATIONARY CRANE.</t>
  </si>
  <si>
    <t>S11013045</t>
  </si>
  <si>
    <t>SUCTION HOSE,PN:7203946, FOR HYDRA 14TON ESCORTS.</t>
  </si>
  <si>
    <t>S11013111</t>
  </si>
  <si>
    <t>CENTER JOINT SEAL KIT,PN: SASP00032,FOR SANY 245 EXCAVATOR</t>
  </si>
  <si>
    <t>S11013160</t>
  </si>
  <si>
    <t>PILOT FILTER,PN:SASP00274,FOR SANY 245-II EXCAVATOR.</t>
  </si>
  <si>
    <t>S11013262</t>
  </si>
  <si>
    <t>HOSE 1100MM, PN: 201-910-N170, FOR KOMATSU PC-71 EXCAVATOR.</t>
  </si>
  <si>
    <t>S11013271</t>
  </si>
  <si>
    <t>CLUTCH PLATE, PN:B1M04302, FOR TIPPER BS 6</t>
  </si>
  <si>
    <t>S11013296</t>
  </si>
  <si>
    <t>HOSE PIPE KIT, PN:GM12C4-H00-000, FOR APICAL GRABBER.</t>
  </si>
  <si>
    <t>S11013304</t>
  </si>
  <si>
    <t>SPOOL BUCKET, PN :60281373, FOR SANY 245</t>
  </si>
  <si>
    <t>S11013317</t>
  </si>
  <si>
    <t>TATA HITACHI EX 130 EXCAVATOR WITH 0.7 CUM BUCKET</t>
  </si>
  <si>
    <t>C</t>
  </si>
  <si>
    <t>S11013319</t>
  </si>
  <si>
    <t>SEAL KIT FOR HYDRAULIC CYLINDER OF 0.5CBM, FOR GRABBER.</t>
  </si>
  <si>
    <t>S11013321</t>
  </si>
  <si>
    <t>RELAY VALVE WITH PTFC, PN: FL402300, FOR TIPPER BSVI</t>
  </si>
  <si>
    <t>S11013328</t>
  </si>
  <si>
    <t>O-RING; JOYSTICK, PN: 60008821, FOR THE STATIONARY CRANE</t>
  </si>
  <si>
    <t>S11013329</t>
  </si>
  <si>
    <t>O-RING; JOYSTICK, PN: 60008822, FOR THE STATIONARY CRANE</t>
  </si>
  <si>
    <t>S11013330</t>
  </si>
  <si>
    <t>O-RING; JOYSTICK, PN: 60281369, FOR THE STATIONARY CRANE</t>
  </si>
  <si>
    <t>S11013332</t>
  </si>
  <si>
    <t>O-RING; JOYSTICK, PN: 60100513, FOR THE STATIONARY CRANE</t>
  </si>
  <si>
    <t>S11013333</t>
  </si>
  <si>
    <t>O-RING; JOYSTICK, PN: 60008705, FOR THE STATIONARY CRANE</t>
  </si>
  <si>
    <t>S11013352</t>
  </si>
  <si>
    <t>PSV VALVE, PN: B220401001290, FOR THE SANY 245 EXCAVATOR</t>
  </si>
  <si>
    <t>S11013353</t>
  </si>
  <si>
    <t>PRV VALVE, PN: 60038117, FOR THE SANY 245 EXCAVATOR</t>
  </si>
  <si>
    <t>S11013354</t>
  </si>
  <si>
    <t>LOCK CABIN, PN: A229900003762, FOR THE SANY 245 EXCAVATOR</t>
  </si>
  <si>
    <t>S11013356</t>
  </si>
  <si>
    <t>PILOT ASSEMBLY, PN: B220401001302, FOR THE SANY 245 EXCAVATOR</t>
  </si>
  <si>
    <t>S11013358</t>
  </si>
  <si>
    <t>AIR DRYER ASSEMBLY, PN: C1498. FOR THE TIPPER BS 6</t>
  </si>
  <si>
    <t>S11013359</t>
  </si>
  <si>
    <t>HYDRAULIC TANK ASSEMBLY, PN: C1570, FOR THE TIPPER BS 6</t>
  </si>
  <si>
    <t>S11013360</t>
  </si>
  <si>
    <t>CLUTCH CYLINDER SMALL, PN: C1771, FOR THE TIPPER BS 6</t>
  </si>
  <si>
    <t>S11013361</t>
  </si>
  <si>
    <t>CLUTCH CYLINDER BIG, PN: C1770, FOR THE TIPPER BS 6</t>
  </si>
  <si>
    <t>S11013363</t>
  </si>
  <si>
    <t>COMPRESSOR ASSEMBLY, PN: B1C4300, FOR THE TIPPER BS 6</t>
  </si>
  <si>
    <t>S11013376</t>
  </si>
  <si>
    <t>ADBLUE/DEF LEVEL SENSOR, NOX SENSOR (SCR SYSTEM), PN: XCA01700, FOR THE TIPPER BS VI.</t>
  </si>
  <si>
    <t>S11020792</t>
  </si>
  <si>
    <t>HYDRAULIC HEX NIPPLE SIZE : 1/2' x 1/2'</t>
  </si>
  <si>
    <t>S11020987</t>
  </si>
  <si>
    <t>PU PIPE 8 MM</t>
  </si>
  <si>
    <t>MTR</t>
  </si>
  <si>
    <t>S11020988</t>
  </si>
  <si>
    <t>PU PIPE 10 MM</t>
  </si>
  <si>
    <t>S11020989</t>
  </si>
  <si>
    <t>PU PIPE 12 MM</t>
  </si>
  <si>
    <t>S11020993</t>
  </si>
  <si>
    <t>MS NIPPLE OD : 2' X 6' LONG</t>
  </si>
  <si>
    <t>S11021206</t>
  </si>
  <si>
    <t>HYDRAULIC HEX NIPPLE 1 1/2'' BSP MALE</t>
  </si>
  <si>
    <t>S11021221</t>
  </si>
  <si>
    <t>HYDRAULIC HEX NIPPLE 1/4''BSP</t>
  </si>
  <si>
    <t>S11021381</t>
  </si>
  <si>
    <t>HYDRAULIC HEX NIPPLE SIZE : 3/8' X 1/2'</t>
  </si>
  <si>
    <t>S11021397</t>
  </si>
  <si>
    <t>PU PIPE 6MM</t>
  </si>
  <si>
    <t>S11061001</t>
  </si>
  <si>
    <t>TYRE, TUBE &amp; FLAP, SIZE: 11.00 - 20, FOR HYDRA 14 TON</t>
  </si>
  <si>
    <t>SET</t>
  </si>
  <si>
    <t>S11061004</t>
  </si>
  <si>
    <t>TUBE, 7.50-16, FOR TRACTOR 605</t>
  </si>
  <si>
    <t>S11061008</t>
  </si>
  <si>
    <t>TUBE, SIZE: 2.75 - 17, FOR TWO WHEELER</t>
  </si>
  <si>
    <t>S11081027</t>
  </si>
  <si>
    <t>HYDRAULIC GRABBER FOR SANY 245 EXA,CAPACITY-0.6 M3,PN:A22091019</t>
  </si>
  <si>
    <t>S12010116</t>
  </si>
  <si>
    <t>HT Bolt, Nut, Washer M 20 X 75 MM</t>
  </si>
  <si>
    <t>S12010214</t>
  </si>
  <si>
    <t>Grinding Wheel AG-4</t>
  </si>
  <si>
    <t>S12010228</t>
  </si>
  <si>
    <t>Allen Key Set(size - mm)</t>
  </si>
  <si>
    <t>S12010250</t>
  </si>
  <si>
    <t>DE Spanners Set 6-46</t>
  </si>
  <si>
    <t>S12010271</t>
  </si>
  <si>
    <t>Ring Spanners Set 6-46</t>
  </si>
  <si>
    <t>S12010274</t>
  </si>
  <si>
    <t>Screw Driver 12''</t>
  </si>
  <si>
    <t>S12010311</t>
  </si>
  <si>
    <t>Anabond 666 T</t>
  </si>
  <si>
    <t>S12010319</t>
  </si>
  <si>
    <t>M-seal</t>
  </si>
  <si>
    <t>KG</t>
  </si>
  <si>
    <t>S12040409</t>
  </si>
  <si>
    <t>NOSE PLIERS IN</t>
  </si>
  <si>
    <t>S12040410</t>
  </si>
  <si>
    <t>NOSE PLIERS OUT</t>
  </si>
  <si>
    <t>S12040597</t>
  </si>
  <si>
    <t>SOCKET SET SA46 ,1/4 SQ DR, 46 PCS</t>
  </si>
  <si>
    <t>S12040629</t>
  </si>
  <si>
    <t>COMBINATION PLIER 8', PROD NO: 1621-8</t>
  </si>
  <si>
    <t>S13010290</t>
  </si>
  <si>
    <t>Cable Ties 200mm</t>
  </si>
  <si>
    <t>PKT</t>
  </si>
  <si>
    <t>S13010489</t>
  </si>
  <si>
    <t>PVC Insulation Tape</t>
  </si>
  <si>
    <t>S13010499</t>
  </si>
  <si>
    <t>Battery Terminals</t>
  </si>
  <si>
    <t>S13030011</t>
  </si>
  <si>
    <t>NYLON CABLE TIE SIZE 300MM</t>
  </si>
  <si>
    <t>S13100490</t>
  </si>
  <si>
    <t>GLASS TAPE 2 INCH</t>
  </si>
  <si>
    <t>S13250507</t>
  </si>
  <si>
    <t>BATTERY, 130 AH, 12 V</t>
  </si>
  <si>
    <t>S13250511</t>
  </si>
  <si>
    <t>BATTERY, 80 AH, 12 V, FOR JCB 430ZX LOADER</t>
  </si>
  <si>
    <t>S14010068</t>
  </si>
  <si>
    <t>BLACK GOGGLES</t>
  </si>
  <si>
    <t>S15010436</t>
  </si>
  <si>
    <t>LOCKTITE 406 CAP-50ML</t>
  </si>
  <si>
    <t>S16010105</t>
  </si>
  <si>
    <t>Teflon Tape</t>
  </si>
  <si>
    <t>S18060001</t>
  </si>
  <si>
    <t>Cotton Waste</t>
  </si>
  <si>
    <t>S18130290</t>
  </si>
  <si>
    <t>COTTON WASTE (BANIYAN)</t>
  </si>
  <si>
    <t>S20010031</t>
  </si>
  <si>
    <t>Hologen Bulb H3 (24v)</t>
  </si>
  <si>
    <t>S24010009</t>
  </si>
  <si>
    <t>M.S Welding Electrodes 3.15mm</t>
  </si>
  <si>
    <t>S24010010</t>
  </si>
  <si>
    <t>M.S Welding Electrodes 4mm</t>
  </si>
  <si>
    <t>S24010018</t>
  </si>
  <si>
    <t>Welding Glasses Black</t>
  </si>
  <si>
    <t>S30010043</t>
  </si>
  <si>
    <t>Grease Gun Repair Kit</t>
  </si>
  <si>
    <t>S30010144</t>
  </si>
  <si>
    <t>STRAINER, PN: 22B-60-1160I, FOR STATIONARY CRANE</t>
  </si>
  <si>
    <t>S30010145</t>
  </si>
  <si>
    <t>ELEMENT, PN: 207-60-71183I, FOR STATIONARY CRANE</t>
  </si>
  <si>
    <t>S30020117</t>
  </si>
  <si>
    <t>PU SOCKET 8 MM</t>
  </si>
  <si>
    <t>S30020118</t>
  </si>
  <si>
    <t>PU SOCKET 10 MM</t>
  </si>
  <si>
    <t>S30020119</t>
  </si>
  <si>
    <t>PU SOCKET 12 MM</t>
  </si>
  <si>
    <t>S30020124</t>
  </si>
  <si>
    <t>PU PIPE 16 MM</t>
  </si>
  <si>
    <t>S30020152</t>
  </si>
  <si>
    <t>P U STRAIGHT CONNECTOR 1/4' X 8 MM</t>
  </si>
  <si>
    <t>S32010002</t>
  </si>
  <si>
    <t xml:space="preserve">Break oil </t>
  </si>
  <si>
    <t>LTR</t>
  </si>
  <si>
    <t>S32010006</t>
  </si>
  <si>
    <t>Engine Oil 15W40-CI4 Plus</t>
  </si>
  <si>
    <t>S32010009</t>
  </si>
  <si>
    <t>EP - 2 Grease</t>
  </si>
  <si>
    <t>S32010012</t>
  </si>
  <si>
    <t>Gear Oil EP - 90</t>
  </si>
  <si>
    <t>S32010018</t>
  </si>
  <si>
    <t>Hydralic Oil H - 68</t>
  </si>
  <si>
    <t>S32010067</t>
  </si>
  <si>
    <t>ENGINE OIL 20L, PN: 60024666P2, FOR SANY 245 EXCAVATOR</t>
  </si>
  <si>
    <t>S32010069</t>
  </si>
  <si>
    <t>HYDRAULIC OIL HLP 46</t>
  </si>
  <si>
    <t>EHS</t>
  </si>
  <si>
    <t>S11050025</t>
  </si>
  <si>
    <t>WORK PERMIT 100 PAGE BOOK (1+2), SIZE: A4</t>
  </si>
  <si>
    <t>S14010015</t>
  </si>
  <si>
    <t>Ear Plug</t>
  </si>
  <si>
    <t>S14010036</t>
  </si>
  <si>
    <t>Safety Goggles</t>
  </si>
  <si>
    <t>S14010038</t>
  </si>
  <si>
    <t>Safety Helmet Blue</t>
  </si>
  <si>
    <t>S14010040</t>
  </si>
  <si>
    <t>Safety Helmet White</t>
  </si>
  <si>
    <t>S14010053</t>
  </si>
  <si>
    <t>BARRICATION TAPE</t>
  </si>
  <si>
    <t>S14010056</t>
  </si>
  <si>
    <t>Nose Mask with Filter</t>
  </si>
  <si>
    <t>S14010065</t>
  </si>
  <si>
    <t>RUBBER HAND GLOVES 10'</t>
  </si>
  <si>
    <t>PRS</t>
  </si>
  <si>
    <t>S14010072</t>
  </si>
  <si>
    <t>DOTTED HAND GLOVES 10'</t>
  </si>
  <si>
    <t>S14010094</t>
  </si>
  <si>
    <t>COTTON CLOTH FASE MASK</t>
  </si>
  <si>
    <t>S14010096</t>
  </si>
  <si>
    <t>SAFETY HELMET COLOR LIGHT BLUE</t>
  </si>
  <si>
    <t>S14010098</t>
  </si>
  <si>
    <t>SAFETY HELMET COLOR GREY</t>
  </si>
  <si>
    <t>S14010113</t>
  </si>
  <si>
    <t>HIGH ANKLE DOUBLE PU SOLE SAFETY SHOE SIZE NO.8</t>
  </si>
  <si>
    <t>S14010118</t>
  </si>
  <si>
    <t>LOW ANKLE DOUBLE PU SOLE SAFETY SHOE SIZE NO.7</t>
  </si>
  <si>
    <t>S14010119</t>
  </si>
  <si>
    <t>LOW ANKLE DOUBLE PU SOLE SAFETY SHOE SIZE NO.8</t>
  </si>
  <si>
    <t>S14010120</t>
  </si>
  <si>
    <t>LOW ANKLE DOUBLE PU SOLE SAFETY SHOE SIZE NO.9</t>
  </si>
  <si>
    <t>S14010121</t>
  </si>
  <si>
    <t>LOW ANKLE DOUBLE PU SOLE SAFETY SHOE SIZE NO.10</t>
  </si>
  <si>
    <t>S14010124</t>
  </si>
  <si>
    <t>ELECTRICAL, FIBER TOE SAFETY SHOE 07</t>
  </si>
  <si>
    <t>S14010126</t>
  </si>
  <si>
    <t>ELECTRICAL, FIBER TOE SAFETY SHOE 09</t>
  </si>
  <si>
    <t>S14010127</t>
  </si>
  <si>
    <t>ELECTRICAL, FIBER TOE SAFETY SHOE 10</t>
  </si>
  <si>
    <t>S14010160</t>
  </si>
  <si>
    <t>HAND GLOVES, GRAY INDUSTRIAL NITRILE COATED</t>
  </si>
  <si>
    <t>S18060055</t>
  </si>
  <si>
    <t>UMBRELLA</t>
  </si>
  <si>
    <t>S18060108</t>
  </si>
  <si>
    <t>RAIN COAT/ SUITS</t>
  </si>
  <si>
    <t>ELECTRICAL AND INSTRUMENTATION - SMS</t>
  </si>
  <si>
    <t>S01010037</t>
  </si>
  <si>
    <t>INV SCR CAPSUL, (TDIE-002), IF SPARE</t>
  </si>
  <si>
    <t>S01010055</t>
  </si>
  <si>
    <t>MT-193N-01, IF SPARE</t>
  </si>
  <si>
    <t>S01010062</t>
  </si>
  <si>
    <t>MT-534-00, IF SPARE</t>
  </si>
  <si>
    <t>S01010208</t>
  </si>
  <si>
    <t>THERMOSTAT, 70 DEG WITH INDICATOR, NC TYPE, IF SPARE</t>
  </si>
  <si>
    <t>S02010127</t>
  </si>
  <si>
    <t>MASTER CONTROLLER, TYPE:CM4/6, 415V,40A</t>
  </si>
  <si>
    <t>S02010137</t>
  </si>
  <si>
    <t>CABLE TROLLEY WHEEL FOR 80 TON EOT CRANE</t>
  </si>
  <si>
    <t>S02010265</t>
  </si>
  <si>
    <t>CABLE TROLLEY WHEEL FOR 15 TON EOT CRANE</t>
  </si>
  <si>
    <t>S02010299</t>
  </si>
  <si>
    <t>MASTER CONTROLLER TYPE : MSC- 2000/10 , 09 CIRCUTIES</t>
  </si>
  <si>
    <t>S03010263</t>
  </si>
  <si>
    <t>CASTING SELECTOR SWITCH FOR MOP, FOR CCM</t>
  </si>
  <si>
    <t>S03010264</t>
  </si>
  <si>
    <t>CASTING SPEED INDICATOR (0- 5 MTR/MIN), FOR CCM</t>
  </si>
  <si>
    <t>S03010265</t>
  </si>
  <si>
    <t>FREQUENCY SPEED INDICATOR (0-200/250 CYCLES/MIN), FOR CCM</t>
  </si>
  <si>
    <t>S03010274</t>
  </si>
  <si>
    <t>Limit Switch, Type:BC9 'T', 10A, 230 Vac/30 Vdc</t>
  </si>
  <si>
    <t>S03010275</t>
  </si>
  <si>
    <t>Pressure Switch, Model:PSM-550-B211CD, Range:0.2 to 3 Bar</t>
  </si>
  <si>
    <t>S03010280</t>
  </si>
  <si>
    <t>ANALOG VOLTAGE INPUT MODULE, 2 CH. CAT. 1734-IE2 V ALLEN BRADLEY FOR PLC &amp; AC DRIVE H/W, FOR CCM</t>
  </si>
  <si>
    <t>S03010282</t>
  </si>
  <si>
    <t>ANALOG CURRENT INPUT MODULE, 4 CH. CAT. 1734-IE8C ALLEN BRADLEY FOR PLC &amp; AC DRIVE H/W, FOR CCM</t>
  </si>
  <si>
    <t>S03010283</t>
  </si>
  <si>
    <t>ANALOG VOLTAGE OUTPUT MODULE, 2 CH.  CAT. 1734-OE2V ALLEN BRADLEY FOR PLC &amp; AC DRIVE H/W, FOR CCM</t>
  </si>
  <si>
    <t>S08070305</t>
  </si>
  <si>
    <t>MS HEX BOLT M8 X 50</t>
  </si>
  <si>
    <t>S08080352</t>
  </si>
  <si>
    <t>SS CHEESE HEAD SCREW - M3 X 10 MM</t>
  </si>
  <si>
    <t>S08090175</t>
  </si>
  <si>
    <t>HEX BOLT, SS 304, M6X40, FULL THREAD WITH NUT &amp; DOUBLE WASHER</t>
  </si>
  <si>
    <t>S08090188</t>
  </si>
  <si>
    <t>HEX BOLT, SS 304, M12X40, FULL THREAD WITH NUT &amp; DOUBLE WASHER</t>
  </si>
  <si>
    <t>S11011033</t>
  </si>
  <si>
    <t xml:space="preserve">Paint Brush 2 </t>
  </si>
  <si>
    <t>S11011143</t>
  </si>
  <si>
    <t>16 Gauge Soldering Wire / Lead</t>
  </si>
  <si>
    <t>S11051070</t>
  </si>
  <si>
    <t>DAILY CHECKLIST LOGBOOK, 15 MVA TRANSFORMER, CLOTH BINDING,90 PAGES ,LEGAL SIZE</t>
  </si>
  <si>
    <t>S11051072</t>
  </si>
  <si>
    <t>DAILY CHECKLIST LOGBOOK, HEAT REPORT, CLOTH BINDING,90 PAGES ,LEGAL SIZE</t>
  </si>
  <si>
    <t>S11051140</t>
  </si>
  <si>
    <t>HEAT SHRINK TUBE/FERRULE LABEL CARTRIDGE,MODEL : LK-4WBA5,BLACK ON WHITE, 5MM X 2.5M,MAKE:EPSON ,</t>
  </si>
  <si>
    <t>S11101125</t>
  </si>
  <si>
    <t>AUTO DRAIN VALVE,MODEL ETD-121,POWER 400 OHM,230VAC,DRAIN TIME 4-15SEC,I T 1-128 SEC</t>
  </si>
  <si>
    <t>S11101247</t>
  </si>
  <si>
    <t>SOLENOID CONNECTOR DIN43650 TYPE-2P+E, 250VAC, 10A, MODEL-HD211/SL</t>
  </si>
  <si>
    <t>S11121116</t>
  </si>
  <si>
    <t>DIGITAL WEIGHING SCALE, PLATFORM SIZE 1200 MM X 1200 MM, CAP-1000 KG ,MODEL: ZM303 MLHD</t>
  </si>
  <si>
    <t>S11121138</t>
  </si>
  <si>
    <t>JUMBO DISPLAY H-175, W-470, D-145 MM FOR WEIGHING MACHINE, MODEL: L511A, MAKE: AVERY WEIGH-TRONIX</t>
  </si>
  <si>
    <t>S12010064</t>
  </si>
  <si>
    <t>Anchor Bolt M 10 X 75 MM</t>
  </si>
  <si>
    <t>S12010200</t>
  </si>
  <si>
    <t>Cutting Wheel AG4</t>
  </si>
  <si>
    <t>S12010207</t>
  </si>
  <si>
    <t>Buffing Wheel AG-4</t>
  </si>
  <si>
    <t>S12010240</t>
  </si>
  <si>
    <t>DE Spanner 16 x 17</t>
  </si>
  <si>
    <t>S12010241</t>
  </si>
  <si>
    <t>DE Spanner 18 x 19</t>
  </si>
  <si>
    <t>S12010303</t>
  </si>
  <si>
    <t>HackSaw Blades</t>
  </si>
  <si>
    <t>S12030008</t>
  </si>
  <si>
    <t>BOSCH DRILL BIT SET FOR METAL DRILLING</t>
  </si>
  <si>
    <t>S12030366</t>
  </si>
  <si>
    <t>MIXED SCREWDRIVER BITS SET WITH HOLDER ,( 45 PCS )MAKE :BOSCH</t>
  </si>
  <si>
    <t>S12040025</t>
  </si>
  <si>
    <t>MINI HACKSAW FRAME WITH BLADE 6 INCH TAPARIA</t>
  </si>
  <si>
    <t>S12040089</t>
  </si>
  <si>
    <t>INSULATED SCREW DRIVER 2 IN 1, SIZE: 200 X 6 MM</t>
  </si>
  <si>
    <t>S12040090</t>
  </si>
  <si>
    <t>LINE TESTER, 600V, SIZE: 55 X 6 MM</t>
  </si>
  <si>
    <t>S12040374</t>
  </si>
  <si>
    <t>RING SPANNER 18 X 19</t>
  </si>
  <si>
    <t>S13010050</t>
  </si>
  <si>
    <t>MCB 2 Pole 2 Amp</t>
  </si>
  <si>
    <t>S13010090</t>
  </si>
  <si>
    <t>Contactors 3pole,25amps,aux(sup)-230v ac,</t>
  </si>
  <si>
    <t>S13010126</t>
  </si>
  <si>
    <t xml:space="preserve">HBC Fuse NS Type 63A </t>
  </si>
  <si>
    <t>S13010145</t>
  </si>
  <si>
    <t>MCB 10A, 1 Pole</t>
  </si>
  <si>
    <t>S13010150</t>
  </si>
  <si>
    <t>MCB 6A, 1 Pole</t>
  </si>
  <si>
    <t>S13010151</t>
  </si>
  <si>
    <t>MCB 10A, 2 Pole</t>
  </si>
  <si>
    <t>S13010153</t>
  </si>
  <si>
    <t>MCB 32A, 2 Pole</t>
  </si>
  <si>
    <t>S13010155</t>
  </si>
  <si>
    <t>MCB 6 A, 2 Pole</t>
  </si>
  <si>
    <t>S13010158</t>
  </si>
  <si>
    <t>MCB 32 A, 3 Pole</t>
  </si>
  <si>
    <t>S13010159</t>
  </si>
  <si>
    <t>MCB 63 A, 3 Pole</t>
  </si>
  <si>
    <t>S13010161</t>
  </si>
  <si>
    <t>MCB 32A, 4 Pole</t>
  </si>
  <si>
    <t>S13010162</t>
  </si>
  <si>
    <t>MCB 63A, 4 Pole</t>
  </si>
  <si>
    <t>S13010167</t>
  </si>
  <si>
    <t>MCCB 125 AMPS</t>
  </si>
  <si>
    <t>S13010176</t>
  </si>
  <si>
    <t>MPCB 1.6 - 2.4A</t>
  </si>
  <si>
    <t>S13010179</t>
  </si>
  <si>
    <t>MPCB 10A to 16 A</t>
  </si>
  <si>
    <t>S13010181</t>
  </si>
  <si>
    <t>MPCB 14A to 20 A</t>
  </si>
  <si>
    <t>S13010183</t>
  </si>
  <si>
    <t>MPCB 2.4 - 4A</t>
  </si>
  <si>
    <t>S13010187</t>
  </si>
  <si>
    <t>MPCB 20 - 25A</t>
  </si>
  <si>
    <t>S13010194</t>
  </si>
  <si>
    <t>MPCB 4A to 6.3A</t>
  </si>
  <si>
    <t>S13010196</t>
  </si>
  <si>
    <t>MPCB 6A to 10A</t>
  </si>
  <si>
    <t>S13010198</t>
  </si>
  <si>
    <t>MPCB 9A to 14 A</t>
  </si>
  <si>
    <t>S13010200</t>
  </si>
  <si>
    <t>NC Elements</t>
  </si>
  <si>
    <t>S13010201</t>
  </si>
  <si>
    <t>NO Elements</t>
  </si>
  <si>
    <t>S13010220</t>
  </si>
  <si>
    <t>Ply relays 8 Pin with bases,aux-230v ac</t>
  </si>
  <si>
    <t>S13010233</t>
  </si>
  <si>
    <t>ON Push Button Indicator Green RCB 2BA3</t>
  </si>
  <si>
    <t>S13010273</t>
  </si>
  <si>
    <t xml:space="preserve">Cable Metal glands (double compressing) 19mm  </t>
  </si>
  <si>
    <t>S13010292</t>
  </si>
  <si>
    <t>Lugs 1.5 Fork Type Copper Lugs</t>
  </si>
  <si>
    <t>S13010300</t>
  </si>
  <si>
    <t>Lugs 120sqmm Ring Type Copper Lugs</t>
  </si>
  <si>
    <t>S13010321</t>
  </si>
  <si>
    <t>Lugs 25sqmm Ring Type Copper Lugs</t>
  </si>
  <si>
    <t>S13010330</t>
  </si>
  <si>
    <t>Lugs 4-6sqmm Ring Type Copper  Lugs</t>
  </si>
  <si>
    <t>S13010337</t>
  </si>
  <si>
    <t>Lugs 50 SqmmType- RING, Copper</t>
  </si>
  <si>
    <t>S13010362</t>
  </si>
  <si>
    <t>Socket 16A, 5 - Pin</t>
  </si>
  <si>
    <t>S13010372</t>
  </si>
  <si>
    <t>Plug 3 Pin 16A</t>
  </si>
  <si>
    <t>S13010383</t>
  </si>
  <si>
    <t>Sockets,Type-Pressing 16amps 3 Pin</t>
  </si>
  <si>
    <t>S13010390</t>
  </si>
  <si>
    <t xml:space="preserve">Switch,type-pressing 16amps </t>
  </si>
  <si>
    <t>S13010393</t>
  </si>
  <si>
    <t>6 Modular Switch Board Set</t>
  </si>
  <si>
    <t>S13010394</t>
  </si>
  <si>
    <t>8  Modular Switch Board Set</t>
  </si>
  <si>
    <t>S13010448</t>
  </si>
  <si>
    <t>Exhaust Fan,  12 Inch,  4 Pole, Single Phase</t>
  </si>
  <si>
    <t>S13010467</t>
  </si>
  <si>
    <t>Terminal Blocks 1.5sq mm,(Mounting- open C channel)</t>
  </si>
  <si>
    <t>S13010468</t>
  </si>
  <si>
    <t>Terminal Blocks 10sq mm,(Mounting- open C channel)</t>
  </si>
  <si>
    <t>S13010469</t>
  </si>
  <si>
    <t>Terminal Blocks 16sq mm,(Mounting- open C channel)</t>
  </si>
  <si>
    <t>S13010470</t>
  </si>
  <si>
    <t>Terminal Blocks 2.5sq mm,(Mounting- open C channel)</t>
  </si>
  <si>
    <t>S13010471</t>
  </si>
  <si>
    <t>Terminal Blocks 25sq mm,(Mounting- open C channel)</t>
  </si>
  <si>
    <t>S13010472</t>
  </si>
  <si>
    <t>Terminal Blocks 35sq mm,(Mounting- open C channel)</t>
  </si>
  <si>
    <t>S13010473</t>
  </si>
  <si>
    <t>Terminal Blocks 4sq mm,(Mounting- open C channel)</t>
  </si>
  <si>
    <t>S13010474</t>
  </si>
  <si>
    <t>Terminal Blocks 50sq mm,(Mounting- open C channel)</t>
  </si>
  <si>
    <t>S13010475</t>
  </si>
  <si>
    <t>Terminal Blocks 6sq mm,(Mounting- open C channel)</t>
  </si>
  <si>
    <t>S13010482</t>
  </si>
  <si>
    <t>Aluminum tape</t>
  </si>
  <si>
    <t>RL</t>
  </si>
  <si>
    <t>S13010495</t>
  </si>
  <si>
    <t>Battery 9V</t>
  </si>
  <si>
    <t>S13010526</t>
  </si>
  <si>
    <t>Panel Locks</t>
  </si>
  <si>
    <t>S13010551</t>
  </si>
  <si>
    <t>Cotton Tape</t>
  </si>
  <si>
    <t>S13010561</t>
  </si>
  <si>
    <t>SWG F-Class Insulation Copper Winding Wire 24</t>
  </si>
  <si>
    <t>S13010562</t>
  </si>
  <si>
    <t>varnish Dr. Bech</t>
  </si>
  <si>
    <t>S13010567</t>
  </si>
  <si>
    <t>1 MM FIBRE GLASS SLEEVE CLASS-H</t>
  </si>
  <si>
    <t>S13010568</t>
  </si>
  <si>
    <t>2 MM FIBRE GLASS SLEEVE CLASS-H</t>
  </si>
  <si>
    <t>S13010569</t>
  </si>
  <si>
    <t>3 MM FIBRE GLASS SLEEVE CLASS-H</t>
  </si>
  <si>
    <t>S13010665</t>
  </si>
  <si>
    <t>9HP MOTOR RESISTANCE BOX 4 STAGE : - RV-185, RA-21.7</t>
  </si>
  <si>
    <t>S13010797</t>
  </si>
  <si>
    <t>MOTOR COOLING FAN,AUX HOIST MOTOR,LADDLE CRANE, ID-90 MM,THICKNESS-57 MM,COLAR-80 MM,DIA -400 MM</t>
  </si>
  <si>
    <t>S13010925</t>
  </si>
  <si>
    <t>DE HOUSING COVER, MOTOR 9.3 KW/12.5 HP, 2880 RPM, TYPE : 325PH125, MAKE-AJAY</t>
  </si>
  <si>
    <t>S13010926</t>
  </si>
  <si>
    <t>NDE HOUSING COVER, MOTOR 9.3 KW/12.5 HP, 2880 RPM, TYPE : 325PH125, MAKE-AJAY</t>
  </si>
  <si>
    <t>S13010957</t>
  </si>
  <si>
    <t>COOLER MOTOR, SINGLE PHASE 220/240 VAC,0.80 AMPS, WATTS 70/80, 1400 RPM</t>
  </si>
  <si>
    <t>S13020005</t>
  </si>
  <si>
    <t>Analog time switch m/1 quartz type :QT (DAILY) VOLTAGE:240V AC  CONTACT RATING : 16A/250VC</t>
  </si>
  <si>
    <t>S13020256</t>
  </si>
  <si>
    <t>CONTACTOR 3TF52, COIL 110 VAC, AC 3 TYPE,</t>
  </si>
  <si>
    <t>S13020259</t>
  </si>
  <si>
    <t>CONTACTOR 3TF48, COIL 110 VAC, AC 3 TYPE,</t>
  </si>
  <si>
    <t>S13020260</t>
  </si>
  <si>
    <t>CONTACTOR 3TF47, COIL 110 VAC, AC 3 TYPE,</t>
  </si>
  <si>
    <t>S13020261</t>
  </si>
  <si>
    <t>CONTACTOR 3TF35, COIL 110 VAC, AC 3 TYPE,</t>
  </si>
  <si>
    <t>S13020262</t>
  </si>
  <si>
    <t>CONTACTOR 3TF34, COIL 110 VAC, AC 3 TYPE,</t>
  </si>
  <si>
    <t>S13020290</t>
  </si>
  <si>
    <t>AUXILLARY CONTACTOR - 3RH2122-1AP00, COIL 230 VAC,</t>
  </si>
  <si>
    <t>S13020298</t>
  </si>
  <si>
    <t>POWER CONTACTOR - 3TF34, COIL 220V AC, AC3 TYPE</t>
  </si>
  <si>
    <t>S13020299</t>
  </si>
  <si>
    <t>POWER CONTACTOR - 3TF50, COIL 220 VAC, AC3 TYPE</t>
  </si>
  <si>
    <t>S13020310</t>
  </si>
  <si>
    <t>STAR DELTA TIMER - 800S, COIL 230 VAC, MAKE - SELEC</t>
  </si>
  <si>
    <t>S13020325</t>
  </si>
  <si>
    <t>MCCB, 3VM1163-4EE32-0AA0, RANGE-44A TO 63A</t>
  </si>
  <si>
    <t>S13020326</t>
  </si>
  <si>
    <t>MCCB, 3VM1116-4EE32-0AA0, RANGE-112A TO 160A</t>
  </si>
  <si>
    <t>S13020327</t>
  </si>
  <si>
    <t>MCCB, 3VM1225-4EE32-0AA0, RANGE-175A TO 250A</t>
  </si>
  <si>
    <t>S13020329</t>
  </si>
  <si>
    <t>EATON BUSSMANN SERIES, 200LMT, 200A BOLTED TAG FUSE</t>
  </si>
  <si>
    <t>S13020334</t>
  </si>
  <si>
    <t>MCB 2P ,16A,10KA</t>
  </si>
  <si>
    <t>S13020353</t>
  </si>
  <si>
    <t>AUXILIARY CONTACTOR 4 POLE, 1 NO, COIL VOL 110 VAC</t>
  </si>
  <si>
    <t>S13020369</t>
  </si>
  <si>
    <t>CONTACTOR 3TF46, COIL 110 VAC, AC 3 TYPE</t>
  </si>
  <si>
    <t>S13020421</t>
  </si>
  <si>
    <t>ON PUSH BUTTON , GREEN,240 V AC, MODEL NO-2AF3</t>
  </si>
  <si>
    <t>S13020422</t>
  </si>
  <si>
    <t>OFF PUSH BUTTON , RED, 240 V AC, MODEL N0-2AF</t>
  </si>
  <si>
    <t>S13020610</t>
  </si>
  <si>
    <t>OVER LOAD RELAY PN NO : 3UW50 02-0K, 660V,0.8-1.25A</t>
  </si>
  <si>
    <t>S13060007</t>
  </si>
  <si>
    <t>Copper flexible cable 1.5 sqmm X 1 Core, Color : Red, 90 mtrs</t>
  </si>
  <si>
    <t>COI</t>
  </si>
  <si>
    <t>S13060010</t>
  </si>
  <si>
    <t>Copper Flexible Cable 1.5 sqmm X 1 Core, Color : Black, 90 mtrs</t>
  </si>
  <si>
    <t>S13060040</t>
  </si>
  <si>
    <t>4sqmm X 4 core Copper flexible cable 90 mtrs coil</t>
  </si>
  <si>
    <t>S13060041</t>
  </si>
  <si>
    <t>COPPER FLEXIBLE cable, 1.5 SQ MM X 2 CORE 90 Mtr</t>
  </si>
  <si>
    <t>S13060060</t>
  </si>
  <si>
    <t>COPPER CABLE ARMOURED, 1.1KV, 4 CORE, 2.5 SQMM, XLPE</t>
  </si>
  <si>
    <t>S13060066</t>
  </si>
  <si>
    <t>COPPER CABLE UN-ARMOURED, 1.1KV, 1 CORE, 120 SQMM, XLPE</t>
  </si>
  <si>
    <t>S13060452</t>
  </si>
  <si>
    <t>COMPENSATING CABLE FOR TYPE-R/S THERMOCOUPLE TEFLON /FIBREGLASS (HT) 2C X 1.5 SQMM</t>
  </si>
  <si>
    <t>S13060464</t>
  </si>
  <si>
    <t>COPPER FLEXIBLE CABLE  3C X 2.5 SQ.MM</t>
  </si>
  <si>
    <t>S13060468</t>
  </si>
  <si>
    <t>TEFLON COATED SCREEN CABLE - 4 CORE X 1.5 SQ MM</t>
  </si>
  <si>
    <t>S13060496</t>
  </si>
  <si>
    <t>COPPER FLEXIBLE CABLE 4C X 2.5 SQMM</t>
  </si>
  <si>
    <t>S13060609</t>
  </si>
  <si>
    <t>COMPENSATING CABLE NEOPRENE FLEXIBLE 1.5 SQMM X 2CORE FOR R/S THERMOCOUPLE</t>
  </si>
  <si>
    <t>S13060640</t>
  </si>
  <si>
    <t>COPPER FIBER GLASS CABLE ,1C X 2.5 SQMM.</t>
  </si>
  <si>
    <t>S13060646</t>
  </si>
  <si>
    <t>HOFR EPR RUBBER INSULATED BRAIDED COPPER CABLE 2C X 25SQ.MM</t>
  </si>
  <si>
    <t>S13070501</t>
  </si>
  <si>
    <t>INDUSTRIAL EXHAUST FAN 24'</t>
  </si>
  <si>
    <t>S13070522</t>
  </si>
  <si>
    <t>PANEL COOLING FAN,REC-21725 A2W,220-240V AC,0.19A,50HZ,RPM-1500</t>
  </si>
  <si>
    <t>S13070525</t>
  </si>
  <si>
    <t>EXHAUST FAN, 15' SINGLE PHASE, 90W,1400RPM,</t>
  </si>
  <si>
    <t>S13080500</t>
  </si>
  <si>
    <t>250 KW VFD DRIVE PANEL(HEAVY DUTY), SUITABLE FOR ID FAN</t>
  </si>
  <si>
    <t>S13100503</t>
  </si>
  <si>
    <t>SELF-ADHESIVE 30*15 MM (W*D) -POLYURETHANE D TYPE PU FOAM GASKETS</t>
  </si>
  <si>
    <t>S13100505</t>
  </si>
  <si>
    <t>BECKTOL RED INSULATING VARNISH ( DR.BECK)</t>
  </si>
  <si>
    <t>S13110001</t>
  </si>
  <si>
    <t>1.5 V   A A  BATTERY</t>
  </si>
  <si>
    <t>S13110002</t>
  </si>
  <si>
    <t>1.5 V   A A A   BATTERY</t>
  </si>
  <si>
    <t>S13120001</t>
  </si>
  <si>
    <t>Copper Ring Type Lugs 35 sqmm</t>
  </si>
  <si>
    <t>S13120014</t>
  </si>
  <si>
    <t>CABLE LUGS RING TYPE, COPPER 95 SQMM, 12.7MM, DOWELL</t>
  </si>
  <si>
    <t>S13120054</t>
  </si>
  <si>
    <t>CADMIUM WHITE BOLT 6X25 WITH NUT, 1 SPRING WASHERS AND 2 PLAIN WASHERS</t>
  </si>
  <si>
    <t>S13120055</t>
  </si>
  <si>
    <t>CADMIUM WHITE BOLT 6X50 WITH NUT, 1 SPRING WASHERS AND 2 PLAIN WASHERS</t>
  </si>
  <si>
    <t>S13120056</t>
  </si>
  <si>
    <t>CADMIUM WHITE BOLT 6X75 WITH NUT, 1 SPRING WASHERS AND 2 PLAIN WASHERS</t>
  </si>
  <si>
    <t>S13120058</t>
  </si>
  <si>
    <t>CADMIUM WHITE BOLT 8X50 WITH NUT, 1 SPRING WASHERS AND 2 PLAIN WASHERS</t>
  </si>
  <si>
    <t>S13120092</t>
  </si>
  <si>
    <t>4 WAY, LIGHTING DOUBLE DOOR DISTRIBUTION BOARD, JUNCTION BOX, METAL</t>
  </si>
  <si>
    <t>S13120145</t>
  </si>
  <si>
    <t>BCH TIMER COIL 110 VAC - 0.5 TO 60 SEC</t>
  </si>
  <si>
    <t>S13120147</t>
  </si>
  <si>
    <t>CARBON BRUSH CBC MC 70 Z0075  SIZE - 10 X 20 MM</t>
  </si>
  <si>
    <t>S13120148</t>
  </si>
  <si>
    <t>CARBON BRUSH CBC MC 70 Z0096  SIZE - 16 X 32 MM</t>
  </si>
  <si>
    <t>S13120152</t>
  </si>
  <si>
    <t>COPPER LUG 'U' TYPE - 2.5 SQ.MM</t>
  </si>
  <si>
    <t>S13120157</t>
  </si>
  <si>
    <t>CTC SPRAY</t>
  </si>
  <si>
    <t>S13120158</t>
  </si>
  <si>
    <t>MCB 16 AMP C TYPE 4 POLE</t>
  </si>
  <si>
    <t>S13120159</t>
  </si>
  <si>
    <t>MCB 16 AMP C TYPE 3 POLE</t>
  </si>
  <si>
    <t>S13120161</t>
  </si>
  <si>
    <t>COPPER LUG RING TYPE - 35 SQ.MM (DIA 10 MM OR 12 MM)</t>
  </si>
  <si>
    <t>S13120165</t>
  </si>
  <si>
    <t>COPPER LUG RING TYPE - 2.5 SQ.MM</t>
  </si>
  <si>
    <t>S13120174</t>
  </si>
  <si>
    <t>THRUSTER HYD.080/06.CD.42.SS.AU.ZN.W3, MAKE : GALVI</t>
  </si>
  <si>
    <t>S13120175</t>
  </si>
  <si>
    <t>MASTER CONTROLLER MSC-2000/10, MAKE : KAKKU</t>
  </si>
  <si>
    <t>S13120193</t>
  </si>
  <si>
    <t>ROOM HEATER 1000 WATT 230 V</t>
  </si>
  <si>
    <t>S13120248</t>
  </si>
  <si>
    <t>MINI MOTOR SIREN , MODEL NO: MS-190, COIL VOLTAGE 220 VAC,</t>
  </si>
  <si>
    <t>S13120250</t>
  </si>
  <si>
    <t>ARMATURE FOR AG-4 GRINDING MACHINE</t>
  </si>
  <si>
    <t>S13120259</t>
  </si>
  <si>
    <t>CARBON BRUSH FOR AG-7 HAND GRINDER</t>
  </si>
  <si>
    <t>S13120271</t>
  </si>
  <si>
    <t>SINGLE PHASE PREVENTER, SM-301, 415VAC, 47HZ TO 63HZ</t>
  </si>
  <si>
    <t>S13120278</t>
  </si>
  <si>
    <t>ELMEX CST CONNECTOR, CST-2.5</t>
  </si>
  <si>
    <t>S13120280</t>
  </si>
  <si>
    <t>ELMEX CST CONNECTOR, CST-6</t>
  </si>
  <si>
    <t>S13120281</t>
  </si>
  <si>
    <t>ELMEX CST CONNECTOR, CST-16</t>
  </si>
  <si>
    <t>S13120282</t>
  </si>
  <si>
    <t>ELMEX CST CONNECTOR, CST-10</t>
  </si>
  <si>
    <t>S13120283</t>
  </si>
  <si>
    <t>ELMEX CST CONNECTOR, CST-25</t>
  </si>
  <si>
    <t>S13120294</t>
  </si>
  <si>
    <t>TWO POSITION SELECTOR SWITCH</t>
  </si>
  <si>
    <t>S13120304</t>
  </si>
  <si>
    <t>MODULAR PLATE, MODULAR 2M PLATE WITH INNER FRAME WHITE</t>
  </si>
  <si>
    <t>S13120305</t>
  </si>
  <si>
    <t>MCB CHANNEL DIN RAIL</t>
  </si>
  <si>
    <t>S13120309</t>
  </si>
  <si>
    <t>Auxiliary Contact Block NO 3TX4010-2A</t>
  </si>
  <si>
    <t>S13120310</t>
  </si>
  <si>
    <t>Auxiliary Contact Block NC 3TX4001-2A</t>
  </si>
  <si>
    <t>S13120322</t>
  </si>
  <si>
    <t>MCB DISTRIBUTION BOX  12 WAY,  DOUBLE DOOR</t>
  </si>
  <si>
    <t>S13120337</t>
  </si>
  <si>
    <t>LED FLOOD LIGHT 200 WATT</t>
  </si>
  <si>
    <t>S13120372</t>
  </si>
  <si>
    <t>INDICATION LAMP 240 VAC RED</t>
  </si>
  <si>
    <t>S13120373</t>
  </si>
  <si>
    <t>INDICATION LAMP 240 VAC YELLOW</t>
  </si>
  <si>
    <t>S13120374</t>
  </si>
  <si>
    <t>INDICATION LAMP 240 VAC BLUE</t>
  </si>
  <si>
    <t>S13120375</t>
  </si>
  <si>
    <t>INDICATION LAMP 240 VAC GREEN</t>
  </si>
  <si>
    <t>S13120385</t>
  </si>
  <si>
    <t>PENDANT, PLASTIC , 12 WAY-EMERGENCY-MAIN ON- UP-DOWN-LEFT-RIGHT-FORWARD-REVERSE-SELECTOR S</t>
  </si>
  <si>
    <t>S13120409</t>
  </si>
  <si>
    <t>LUG COPPER, SNAP ON TYPE TERMINAL, 1.5 SQ MM</t>
  </si>
  <si>
    <t>S13120418</t>
  </si>
  <si>
    <t>RTD TEMP. TRANSMITTER, PT100, RANGE: -10 TO 400 °C, DIA-4MM LENGTH-300 MM</t>
  </si>
  <si>
    <t>S13120473</t>
  </si>
  <si>
    <t>REMOTE CONTROL PENDANT WITH INDICATION LAMP,240 VAC,TYPE- PUSH BUTTON STATION,MODEL NO EP3FAUI1X0201</t>
  </si>
  <si>
    <t>S13120500</t>
  </si>
  <si>
    <t>DIGITAL KWH METER, MODEL: 7KT0310</t>
  </si>
  <si>
    <t>S13120512</t>
  </si>
  <si>
    <t>MULTIFUNCTION ELECTRONIC TIMER RELAY, MODEL: 7PV0723-1AZ20, VOL: 12-240V AC/DC</t>
  </si>
  <si>
    <t>S13120526</t>
  </si>
  <si>
    <t>LOAD CELL,MODEL NO CZL803-M,CAP 750KG,ACC 0.02%F.S FOR WEIGHING MACHINE,PLATFORM SIZE 1200X1200 MM</t>
  </si>
  <si>
    <t>S13120532</t>
  </si>
  <si>
    <t>CRANE REMOTE PENDANT PUSH BUTTON, WHITE HEAD</t>
  </si>
  <si>
    <t>S13120628</t>
  </si>
  <si>
    <t>LED INDICATION LAMP 42-240V AC/DC, RED</t>
  </si>
  <si>
    <t>S13120629</t>
  </si>
  <si>
    <t>LED INDICATION LAMP 42-240V AC/DC, YELLOW</t>
  </si>
  <si>
    <t>S13120630</t>
  </si>
  <si>
    <t>LED INDICATION LAMP 42-240V AC/DC, BLUE</t>
  </si>
  <si>
    <t>S13120654</t>
  </si>
  <si>
    <t>U-SHAPE FINNED TUBULAR HEATING ELEMENTS WITH TERMINAL PINS,1KW,415V,TUBE DIA:11MM,LENGTH:450+/-10MM</t>
  </si>
  <si>
    <t>S13120655</t>
  </si>
  <si>
    <t>U-SHAPE FINNED TUBULAR HEATING ELEMENTS WITH TERMINAL PINS,1KW,415V,TUBE DIA:11MM,LENGTH:350+/-10MM</t>
  </si>
  <si>
    <t>S13150559</t>
  </si>
  <si>
    <t>MICOM P127:MODEL, FAULT PROTECTION RELAYS, VOL-24TO 240 VAC</t>
  </si>
  <si>
    <t>S13160001</t>
  </si>
  <si>
    <t>AG4 Grinding machine carbon brush</t>
  </si>
  <si>
    <t>S13240008</t>
  </si>
  <si>
    <t>L.T REVERSE FORWARD SWITCH, 32 AMP, 3 PHASE</t>
  </si>
  <si>
    <t>S13240076</t>
  </si>
  <si>
    <t>POWER CONTACTOR 50AMP 3RT2036 -1A, COIL VOLT-230VAC,AC-3 ,WITH AUXILIARY CONTACTS 2 NO+2 NC DRIVE</t>
  </si>
  <si>
    <t>S13240077</t>
  </si>
  <si>
    <t>POWER CONTACTOR 16AMP 3RT2018 -1A, COIL VOLT-230VAC ,AC-3,WITH AUXILIARY CONTACTS 2 NO + 2 NC DRIVE</t>
  </si>
  <si>
    <t>S13240114</t>
  </si>
  <si>
    <t>RCCB, 4 POLE, 63A, 30mA</t>
  </si>
  <si>
    <t>S14010025</t>
  </si>
  <si>
    <t>HAND GLOVES COTTON</t>
  </si>
  <si>
    <t>S15010042</t>
  </si>
  <si>
    <t>Wire Brush</t>
  </si>
  <si>
    <t>S16010224</t>
  </si>
  <si>
    <t>Asbestos rope 3mm</t>
  </si>
  <si>
    <t>S16030109</t>
  </si>
  <si>
    <t>TARPAULIN SIZE 30' X 40'</t>
  </si>
  <si>
    <t>S17010082</t>
  </si>
  <si>
    <t>Electronic Speed Switch</t>
  </si>
  <si>
    <t>S18010052</t>
  </si>
  <si>
    <t>Coconut Broom</t>
  </si>
  <si>
    <t>S18010057</t>
  </si>
  <si>
    <t>Smooth Broom</t>
  </si>
  <si>
    <t>S18010108</t>
  </si>
  <si>
    <t>INDUSTRIAL AC 6TR</t>
  </si>
  <si>
    <t>S18130291</t>
  </si>
  <si>
    <t>VACUUM CLEANER ,MODEL : PRO GAS 400 A, MAKE: BOSCH,</t>
  </si>
  <si>
    <t>S20010018</t>
  </si>
  <si>
    <t>Bulbs 100w Pin Type</t>
  </si>
  <si>
    <t>S20010041</t>
  </si>
  <si>
    <t>Pendant holders</t>
  </si>
  <si>
    <t>S20010044</t>
  </si>
  <si>
    <t>Pin Type Led Bulbs 12w</t>
  </si>
  <si>
    <t>S20010052</t>
  </si>
  <si>
    <t>100W LED Flood light</t>
  </si>
  <si>
    <t>S20010071</t>
  </si>
  <si>
    <t>LED BATTEN TUBE LIGHT, 20W</t>
  </si>
  <si>
    <t>S20010072</t>
  </si>
  <si>
    <t>LED STREET LIGHT, 100W</t>
  </si>
  <si>
    <t>S20010073</t>
  </si>
  <si>
    <t>LED HIGHBAY 200W, IP65</t>
  </si>
  <si>
    <t>S22010245</t>
  </si>
  <si>
    <t>CRC Spray 2-26</t>
  </si>
  <si>
    <t>S25010288</t>
  </si>
  <si>
    <t>BEARING 6306 ZZ</t>
  </si>
  <si>
    <t>S25010289</t>
  </si>
  <si>
    <t>BEARING 6308 ZZ</t>
  </si>
  <si>
    <t>S25010320</t>
  </si>
  <si>
    <t>DEEP GROOVE BALL BEARING 6206 2Z</t>
  </si>
  <si>
    <t>S25010426</t>
  </si>
  <si>
    <t>BEARING 6313 ZZ C3</t>
  </si>
  <si>
    <t>S26010026</t>
  </si>
  <si>
    <t>Temperature Controller</t>
  </si>
  <si>
    <t>S26020016</t>
  </si>
  <si>
    <t>TEMPERATURE GUN (0-275 DEGREE CELSIUS</t>
  </si>
  <si>
    <t>S26040018</t>
  </si>
  <si>
    <t>LOW PRESSURE SWITCH,RANGE- 0 TO 5 BAR, MODEL:-PSM-520-70</t>
  </si>
  <si>
    <t>S26060010</t>
  </si>
  <si>
    <t>RTD TEMPERATURE SENSOR, PT100, RANGE 0-300 °C, STEM: 8 X 50 MM, WITH 1/2' CONNECTOR</t>
  </si>
  <si>
    <t>S26060128</t>
  </si>
  <si>
    <t>RECEPTACLE AND TIP HOLDER</t>
  </si>
  <si>
    <t>S26060146</t>
  </si>
  <si>
    <t>PRESSURE SWITCH 1 TO 10 BAR</t>
  </si>
  <si>
    <t>S26060159</t>
  </si>
  <si>
    <t>THERMOCOUPLE, K TYPE,LENGTH-500 MM,DIA-12 MM,FOR FURNACE PREHEATER 250 KW</t>
  </si>
  <si>
    <t>S26070202</t>
  </si>
  <si>
    <t>Digital Temperature Controller PID/On-Off ,Type 7E1</t>
  </si>
  <si>
    <t>S26070205</t>
  </si>
  <si>
    <t>HMD(Hot Metal Detector)  MODEL-Z15 VOLAGE-24VDC,RANGE-10 METERS COLOUR-YELLOW</t>
  </si>
  <si>
    <t>S26070331</t>
  </si>
  <si>
    <t>FLOAT TYPE LEVEL SENSOR FOR HYDRAULIC SYSTEM</t>
  </si>
  <si>
    <t>S32020002</t>
  </si>
  <si>
    <t>NITROGEN CYLINDERS</t>
  </si>
  <si>
    <t>S37010071</t>
  </si>
  <si>
    <t>Grinding Machine AG-4</t>
  </si>
  <si>
    <t>S37010130</t>
  </si>
  <si>
    <t>HAND DRILL MACHINE (13 MM CAPACITY)</t>
  </si>
  <si>
    <t>MECHANICAL - CCM</t>
  </si>
  <si>
    <t>F05030203</t>
  </si>
  <si>
    <t>MS-CHS 40 NB X 2.9 MM X 6000 MM</t>
  </si>
  <si>
    <t>MT</t>
  </si>
  <si>
    <t>S02010097</t>
  </si>
  <si>
    <t>WIRE ROPE U CLAMP-18MM</t>
  </si>
  <si>
    <t>S03010004</t>
  </si>
  <si>
    <t>BRASS SPRAY NOZZLE (6065)</t>
  </si>
  <si>
    <t>S03010007</t>
  </si>
  <si>
    <t>BRASS SPRAY NOZZLE (8045)</t>
  </si>
  <si>
    <t>S03010137</t>
  </si>
  <si>
    <t>GEAR BOX FOR CUTTING APPROCH ROLLER TABLE, FOR CCM</t>
  </si>
  <si>
    <t>S03010163</t>
  </si>
  <si>
    <t>UJ KIT FOR PROPELLER SHAFT 1410 SEREIS FOR CUTTING APPROCH ROLLER TABLE, FOR CCM</t>
  </si>
  <si>
    <t>S03010172</t>
  </si>
  <si>
    <t>SPRAY RING WITHOUT NOZZLES FOR MOULD JACKET 130 SQ MM, FOR CCM</t>
  </si>
  <si>
    <t>S03010243</t>
  </si>
  <si>
    <t>PROPELLER SHAFT 1800 SERIS FOR STRAND NO 1 &amp; 3 FOR STRAIGHTENER, FOR CCM</t>
  </si>
  <si>
    <t>S03010249</t>
  </si>
  <si>
    <t>DUAL CHAIN SPOCKET OF ROLLER TABLE FOR CCM  , NO OF TEETH 17, PITCH- 1 1/4'</t>
  </si>
  <si>
    <t>S03010254</t>
  </si>
  <si>
    <t>HOT SHEARING MACHINE BLADE FOR CCM</t>
  </si>
  <si>
    <t>S03010291</t>
  </si>
  <si>
    <t>SIMPLEX CHAIN 1 1/4' X  3.2 MTR</t>
  </si>
  <si>
    <t>S03010295</t>
  </si>
  <si>
    <t>SPRAY RING FOR 160 MM SQ  SECTION WITH NOZZLE</t>
  </si>
  <si>
    <t>S03010305</t>
  </si>
  <si>
    <t>MOULD LOCK FOR SEC 160 X 160 MM</t>
  </si>
  <si>
    <t>S03010306</t>
  </si>
  <si>
    <t>MOULD LOCK FOR SEC 130 X 13O MM</t>
  </si>
  <si>
    <t>S03010316</t>
  </si>
  <si>
    <t>FULL CONE BRASS SPRAY NOZZLE 2565</t>
  </si>
  <si>
    <t>S03010334</t>
  </si>
  <si>
    <t>ECCENTRIC SHAFT , PART NO 4 ,CCM</t>
  </si>
  <si>
    <t>S03010335</t>
  </si>
  <si>
    <t>ECCENTRIC BUSH , PART NO 5 ,CCM</t>
  </si>
  <si>
    <t>S03010344</t>
  </si>
  <si>
    <t>ECCENTRIC ADJUSTING BUSH, FOR CCM</t>
  </si>
  <si>
    <t>S08010176</t>
  </si>
  <si>
    <t>CSK HEAD ALLEN BOLT M20 X 150 MM WITH NUT FULL THREAD</t>
  </si>
  <si>
    <t>S08010184</t>
  </si>
  <si>
    <t>CSK HEAD ALLEN BOLT M5X30 MM</t>
  </si>
  <si>
    <t>S08010188</t>
  </si>
  <si>
    <t>HT ALLEN BOLT 20 X100MM HALF THREAD WITH NUT &amp; SPRING WASHER</t>
  </si>
  <si>
    <t>S08010195</t>
  </si>
  <si>
    <t>ALLEN BOLT M 20 X 75 MM</t>
  </si>
  <si>
    <t>S08010236</t>
  </si>
  <si>
    <t>HT ALLEN BOLT 24 X 180 MM, 80 MM THREAD.</t>
  </si>
  <si>
    <t>S08050405</t>
  </si>
  <si>
    <t>HT BOLT 20 X 230 MM (HALF THREAD)</t>
  </si>
  <si>
    <t>S08050428</t>
  </si>
  <si>
    <t>HT BOLT, NUT, WASHER M 16 X 75 MM</t>
  </si>
  <si>
    <t>S08050452</t>
  </si>
  <si>
    <t>HT BOLT, NUT WITH DOUBLE WASHER, HALF THREAD M10 X 50 MM</t>
  </si>
  <si>
    <t>S08070215</t>
  </si>
  <si>
    <t>ALLEN KEY BOLT M 16X50 FULL THREADED</t>
  </si>
  <si>
    <t>S08070216</t>
  </si>
  <si>
    <t>ALLEN KEY BOLT M 16X75 FULL THREADED</t>
  </si>
  <si>
    <t>S08070251</t>
  </si>
  <si>
    <t>MS WASHER - ID M16</t>
  </si>
  <si>
    <t>S08070299</t>
  </si>
  <si>
    <t>MS NUT M32</t>
  </si>
  <si>
    <t>S08070312</t>
  </si>
  <si>
    <t>MS HEX BOLT M12 X 50</t>
  </si>
  <si>
    <t>S08070321</t>
  </si>
  <si>
    <t>MS HEX BOLT M16 X 75</t>
  </si>
  <si>
    <t>S08070322</t>
  </si>
  <si>
    <t>MS HEX BOLT M20 X 100</t>
  </si>
  <si>
    <t>S08070327</t>
  </si>
  <si>
    <t>MS HEX BOLT M20 X 75</t>
  </si>
  <si>
    <t>S08070328</t>
  </si>
  <si>
    <t>MS HEX BOLT M24 X 100</t>
  </si>
  <si>
    <t>S08070329</t>
  </si>
  <si>
    <t>MS HEX BOLT M24 X 150</t>
  </si>
  <si>
    <t>S08070330</t>
  </si>
  <si>
    <t>MS HEX BOLT M24 X 200</t>
  </si>
  <si>
    <t>S08070333</t>
  </si>
  <si>
    <t>MS HEX NUT M12</t>
  </si>
  <si>
    <t>S08070334</t>
  </si>
  <si>
    <t>MS HEX NUT M16</t>
  </si>
  <si>
    <t>S08070335</t>
  </si>
  <si>
    <t>MS HEX NUT M20</t>
  </si>
  <si>
    <t>S08070338</t>
  </si>
  <si>
    <t>MS PLAIN WASHER 20MM</t>
  </si>
  <si>
    <t>S08070339</t>
  </si>
  <si>
    <t>MS PLAIN WASHER 24MM</t>
  </si>
  <si>
    <t>S11010430</t>
  </si>
  <si>
    <t>MS 1 1/2'' Short Bend</t>
  </si>
  <si>
    <t>S11010839</t>
  </si>
  <si>
    <t>C.S Ball Valve 1</t>
  </si>
  <si>
    <t>S11010887</t>
  </si>
  <si>
    <t>SS 304  Ball Valve 1/2''</t>
  </si>
  <si>
    <t>S11010895</t>
  </si>
  <si>
    <t>SS Needle Valves 1/2'' NPT</t>
  </si>
  <si>
    <t>S11011021</t>
  </si>
  <si>
    <t>Black Paint</t>
  </si>
  <si>
    <t>S11011032</t>
  </si>
  <si>
    <t>Paint Brush 100mm</t>
  </si>
  <si>
    <t>S11011043</t>
  </si>
  <si>
    <t>Sea Bus Green Paint</t>
  </si>
  <si>
    <t>S11011045</t>
  </si>
  <si>
    <t>Signal Red Paint</t>
  </si>
  <si>
    <t>S11011046</t>
  </si>
  <si>
    <t>Sky Blue Paint</t>
  </si>
  <si>
    <t>S11020225</t>
  </si>
  <si>
    <t>JUBILEE CLAMP,SS,SIZE-1/2'</t>
  </si>
  <si>
    <t>S11020227</t>
  </si>
  <si>
    <t>JUBILEE CLAMP,SS,SIZE-3/4'</t>
  </si>
  <si>
    <t>S11020495</t>
  </si>
  <si>
    <t>HEX NIPPLE,GI,C-CLASS,NB-2'</t>
  </si>
  <si>
    <t>S11020788</t>
  </si>
  <si>
    <t>SYPHONE TUBE 3/8'</t>
  </si>
  <si>
    <t>S11020793</t>
  </si>
  <si>
    <t>HYDRAULIC HEX NIPPLE SIZE : 3/4' x 3/4'</t>
  </si>
  <si>
    <t>S11020794</t>
  </si>
  <si>
    <t>HYDRAULIC HEX NIPPLE SIZE : 1' x 1'</t>
  </si>
  <si>
    <t>S11020798</t>
  </si>
  <si>
    <t>STUD STANDPIPE ADAPTOR 25 N.BX1' BSP(M) WELDABLE (WITH 60DEG CONE)</t>
  </si>
  <si>
    <t>PCS</t>
  </si>
  <si>
    <t>S11021033</t>
  </si>
  <si>
    <t>M.S. WELDABLE SOCKET 3/8' SCH 80</t>
  </si>
  <si>
    <t>S11021220</t>
  </si>
  <si>
    <t>HYDRAULIC HEX NIPPLE 3/8'' BSP</t>
  </si>
  <si>
    <t>S11021393</t>
  </si>
  <si>
    <t>SS UNION 2'</t>
  </si>
  <si>
    <t>S11021467</t>
  </si>
  <si>
    <t>BARREL NIPPLE,SS-304,1 1/2',LENGTH-200 MM ,BSP THREAD BOTH SIDE.</t>
  </si>
  <si>
    <t>S11021499</t>
  </si>
  <si>
    <t>RETAINING NUT,NOZZLE,HEAVY DUTY BRASS,PART NO: AC 9101,COMPATIBLE WITH 18' TO 48' GAS CUTTING TORCH</t>
  </si>
  <si>
    <t>S11030846</t>
  </si>
  <si>
    <t>HYDRAULIC VANE PUMP MODEL NO.CH60Y-B15-1ROOB1</t>
  </si>
  <si>
    <t>S11040936</t>
  </si>
  <si>
    <t>SS COCK VALVE 3/8'</t>
  </si>
  <si>
    <t>S11090001</t>
  </si>
  <si>
    <t>THINNER</t>
  </si>
  <si>
    <t>S11090004</t>
  </si>
  <si>
    <t>YELLOW PAINT</t>
  </si>
  <si>
    <t>S11090005</t>
  </si>
  <si>
    <t>DEEP BLUE PAINT</t>
  </si>
  <si>
    <t>S11091071</t>
  </si>
  <si>
    <t>HIGH TEMPERATURE ALUMINIUM PAINT</t>
  </si>
  <si>
    <t>S11101165</t>
  </si>
  <si>
    <t>C I GATE VALVE 1''X 115 MM</t>
  </si>
  <si>
    <t>S11131129</t>
  </si>
  <si>
    <t>FULL CONE BRASS SPRAY NOZZLE 9045</t>
  </si>
  <si>
    <t>S11190739</t>
  </si>
  <si>
    <t>SHAFT WITH KEY FOR WK 80/3 PUMP</t>
  </si>
  <si>
    <t>S12010070</t>
  </si>
  <si>
    <t>MS Washer M 12</t>
  </si>
  <si>
    <t>S12010083</t>
  </si>
  <si>
    <t>Allen Bolt Nut &amp; Washer M 16 X 100 MM</t>
  </si>
  <si>
    <t>S12010119</t>
  </si>
  <si>
    <t>MS NUT M 24</t>
  </si>
  <si>
    <t>S12010203</t>
  </si>
  <si>
    <t>Grinding Wheel AG 7</t>
  </si>
  <si>
    <t>S12010208</t>
  </si>
  <si>
    <t>Cutting Wheel 14</t>
  </si>
  <si>
    <t>S12010257</t>
  </si>
  <si>
    <t>Measurement tape 5 Mtr</t>
  </si>
  <si>
    <t>S12030001</t>
  </si>
  <si>
    <t>Industrial Oil Can ¼</t>
  </si>
  <si>
    <t>S12040065</t>
  </si>
  <si>
    <t>36MM TORQUE WRENCH SOCKET (3/4- SQUARE DRIVE)</t>
  </si>
  <si>
    <t>S12040074</t>
  </si>
  <si>
    <t>DOUBLE PLY WEBBING SLINGS FLAT BELT 125 MM 5METER  (LIFTING CAPACITY : 5 TON</t>
  </si>
  <si>
    <t>S12040427</t>
  </si>
  <si>
    <t>TAP SET HANDLE SIZE 6 INCH</t>
  </si>
  <si>
    <t>S12040562</t>
  </si>
  <si>
    <t>OUTSIDE CALIPER 18'</t>
  </si>
  <si>
    <t>S15010176</t>
  </si>
  <si>
    <t>Bearing- 6211 2RS</t>
  </si>
  <si>
    <t>S15010329</t>
  </si>
  <si>
    <t>HOUSING COVER FOR 2QC LADLE</t>
  </si>
  <si>
    <t>S15010649</t>
  </si>
  <si>
    <t>GUN METAL HOLLOW ROUND ID-55MM,OD-85 MM,LEGNTH-300 MM</t>
  </si>
  <si>
    <t>S15010654</t>
  </si>
  <si>
    <t>GUN METAL HOLLOW ROUND ID-65MM, OD-100MM LENGTH-300MM</t>
  </si>
  <si>
    <t>S15010722</t>
  </si>
  <si>
    <t>EXTERNAL CIRCLIP - 100</t>
  </si>
  <si>
    <t>S15010753</t>
  </si>
  <si>
    <t>GUN METAL HOLLOW ROUND ID-47,OD-70,LEGNTH-300 MM</t>
  </si>
  <si>
    <t>S16010052</t>
  </si>
  <si>
    <t>Hose clamp 1/2''</t>
  </si>
  <si>
    <t>S16010091</t>
  </si>
  <si>
    <t>Oxygen Hose</t>
  </si>
  <si>
    <t>S16010149</t>
  </si>
  <si>
    <t>Oil Seal 35 x 50 x 7</t>
  </si>
  <si>
    <t>S16010227</t>
  </si>
  <si>
    <t xml:space="preserve">Asbestos Tape 3mm x 50mm </t>
  </si>
  <si>
    <t>S16010245</t>
  </si>
  <si>
    <t>Non Metallic Gasket 3mm</t>
  </si>
  <si>
    <t>S16020115</t>
  </si>
  <si>
    <t>HYDRAULIC HOSE 19.05 MM ID X 1MTR 3/4'BSP(F) BOTH END SWIVEL NUT</t>
  </si>
  <si>
    <t>S16020124</t>
  </si>
  <si>
    <t>S.S.WIRE BRAIDED FLEXIBLE HOSE PIPE 1 1\2' X 500 MM W.P 10 KG</t>
  </si>
  <si>
    <t>S16020126</t>
  </si>
  <si>
    <t>HYDRAULIC HOSE 3/4' X 1.5 MTR</t>
  </si>
  <si>
    <t>S16020127</t>
  </si>
  <si>
    <t>HYDRAULIC HOSE 1/2' X 5 MTR</t>
  </si>
  <si>
    <t>S16020187</t>
  </si>
  <si>
    <t>HOSE PIPE S.S WIRE BRAIDED FLEXIABLE 3/4' X 1 MTR</t>
  </si>
  <si>
    <t>S16020223</t>
  </si>
  <si>
    <t>SS DOUBLE WIRE BRAIDED HYDRAULIC HOSE 25MM ID X LENTH 2200MM 1'BSP(F)BOTH END SWIVEL NUT WP-260 BAR</t>
  </si>
  <si>
    <t>S16040224</t>
  </si>
  <si>
    <t>SEAL KIT FOR PUSHER CYLINDER</t>
  </si>
  <si>
    <t>S16040225</t>
  </si>
  <si>
    <t>SEAL KIT FOR ENTRY CYCLINDER  SIZE-125X70X250, STROKE</t>
  </si>
  <si>
    <t>S16040226</t>
  </si>
  <si>
    <t>SEAL KIT FOR ENTRY CYCLINDER  SIZE-125X70X350, STROKE</t>
  </si>
  <si>
    <t>S16040229</t>
  </si>
  <si>
    <t>OIL SEAL SIZE : 80 X 60 X 10 MM</t>
  </si>
  <si>
    <t>S16040259</t>
  </si>
  <si>
    <t>OIL SEAL NITRILE-48X72X10</t>
  </si>
  <si>
    <t>S16040291</t>
  </si>
  <si>
    <t>SILICON O RING THK 10.2 MM X ID 180 TEMP RANGE 250 DEG</t>
  </si>
  <si>
    <t>S16040292</t>
  </si>
  <si>
    <t>SILICON O RING THK 10.2 MM X ID 219TEMP RANGE 250 DEG</t>
  </si>
  <si>
    <t>S16040429</t>
  </si>
  <si>
    <t>PU SEAL FOR HOT BILLET  SHEARING HYDRAULIC CYLINDER PISTON ID -200 OD-220 LENGTH -15MM</t>
  </si>
  <si>
    <t>S16040505</t>
  </si>
  <si>
    <t>SILICON O RING THK-8 MM X ID 130 MM  TEMP RANGE 250 DEG</t>
  </si>
  <si>
    <t>S16050002</t>
  </si>
  <si>
    <t>ASBESTOS TAPE, 50 MM WIDTH X 5 MM THICK</t>
  </si>
  <si>
    <t>S17030324</t>
  </si>
  <si>
    <t>V BELT C-109</t>
  </si>
  <si>
    <t>S17030328</t>
  </si>
  <si>
    <t>LOVE JOY COUPLING L-150</t>
  </si>
  <si>
    <t>S17030347</t>
  </si>
  <si>
    <t>RB-178,COUPLING PIN BUSH BOLT,12X75 MM</t>
  </si>
  <si>
    <t>S17030537</t>
  </si>
  <si>
    <t>C.I V PULLEY,7''OD,'C'SECTION,3 GROOVE THICKNESS 83MM BORE 30MM</t>
  </si>
  <si>
    <t>S18130277</t>
  </si>
  <si>
    <t>PLASTIC JAR CAPACITY 02 KGS</t>
  </si>
  <si>
    <t>S20010070</t>
  </si>
  <si>
    <t>INDUSTRIAL TORCH LIGHT, RECHARGEABLE, LI-ION BATTERY, WATER RESISTANT, RANGE: 800 MTR, 1500 LUMENS</t>
  </si>
  <si>
    <t>S21010075</t>
  </si>
  <si>
    <t>Key Rod 12 mm x 12 mm</t>
  </si>
  <si>
    <t>S21010081</t>
  </si>
  <si>
    <t>Key Rod 14 mm x 14 mm</t>
  </si>
  <si>
    <t>S21010274</t>
  </si>
  <si>
    <t>MS PLATE,PLAIN,THICKNESS-12MM</t>
  </si>
  <si>
    <t>S24010015</t>
  </si>
  <si>
    <t>Welding Electrodes (7018) 4mm</t>
  </si>
  <si>
    <t>S24010016</t>
  </si>
  <si>
    <t>Welding Electrodes SS 309 3.15mm</t>
  </si>
  <si>
    <t>S24010019</t>
  </si>
  <si>
    <t>Welding Glasses White</t>
  </si>
  <si>
    <t>S24010021</t>
  </si>
  <si>
    <t>Welding Holders, Capacity - Up to 600 amps</t>
  </si>
  <si>
    <t>S24010034</t>
  </si>
  <si>
    <t>Cutting Torch</t>
  </si>
  <si>
    <t>S24010035</t>
  </si>
  <si>
    <t>Cutting Torch Nozzle 1/ 16</t>
  </si>
  <si>
    <t>S24010037</t>
  </si>
  <si>
    <t>LPG Regulator</t>
  </si>
  <si>
    <t>S24010099</t>
  </si>
  <si>
    <t>FELIX 515 AC-DC ELECTRODES 4 MM</t>
  </si>
  <si>
    <t>S24010105</t>
  </si>
  <si>
    <t>WELDING HOLDER ARC 1000Amps</t>
  </si>
  <si>
    <t>S24010106</t>
  </si>
  <si>
    <t>WELDING CABLE COPPER 70 SQMM</t>
  </si>
  <si>
    <t>S24020005</t>
  </si>
  <si>
    <t>CUTTING NOZZLE 1/8'</t>
  </si>
  <si>
    <t>S24020053</t>
  </si>
  <si>
    <t>GAS CUTTING TORCH SPARE KIT</t>
  </si>
  <si>
    <t>S25010080</t>
  </si>
  <si>
    <t>Bearing 6316-C3</t>
  </si>
  <si>
    <t>S25010084</t>
  </si>
  <si>
    <t>BALL BEARING 1212-K-TVH-C3</t>
  </si>
  <si>
    <t>S25010156</t>
  </si>
  <si>
    <t>Sleeve H-312</t>
  </si>
  <si>
    <t>S25010160</t>
  </si>
  <si>
    <t>Sleeve H-316</t>
  </si>
  <si>
    <t>S25010212</t>
  </si>
  <si>
    <t>SPHERCIAL PLAIN BEARING GE-60-ES</t>
  </si>
  <si>
    <t>S25010213</t>
  </si>
  <si>
    <t>SPHERICAL ROLLER BEARING 22220 CC/W33</t>
  </si>
  <si>
    <t>S25010243</t>
  </si>
  <si>
    <t>ANGULAR CONTACT BALL BEARING 3212</t>
  </si>
  <si>
    <t>S25010253</t>
  </si>
  <si>
    <t>BALL BEARING-6010</t>
  </si>
  <si>
    <t>S25010290</t>
  </si>
  <si>
    <t>BEARING 6318 C3</t>
  </si>
  <si>
    <t>S26010148</t>
  </si>
  <si>
    <t>METAL SCALE 1 MTR LENGTH</t>
  </si>
  <si>
    <t>S26070155</t>
  </si>
  <si>
    <t>PRESSURE GAUGE O-14KG/CM2,(DIAL 4') BOTTOM MOUNT TAP 3/8'</t>
  </si>
  <si>
    <t>S30010104</t>
  </si>
  <si>
    <t>FILTER REGULATOR 1/4' NPT ,MODEL SB07-224-M1KN</t>
  </si>
  <si>
    <t>S30010111</t>
  </si>
  <si>
    <t>RETURN LINE FILTER MODEL NUMBER :CE-250-025-53</t>
  </si>
  <si>
    <t>S30010129</t>
  </si>
  <si>
    <t>RETURN LINE FILTER ELEMENT MODEL NO -CE-630-025-S3</t>
  </si>
  <si>
    <t>S30010133</t>
  </si>
  <si>
    <t>AIR FILTER REGULATOR 3/4'' NPT MODEL :AW4000  MAX PRESSURE 10KGF/CM²</t>
  </si>
  <si>
    <t>S30020094</t>
  </si>
  <si>
    <t>SLIDE GATE HYDRAULIC CYLINDER SEAL</t>
  </si>
  <si>
    <t>S30020096</t>
  </si>
  <si>
    <t>HYDRAULIC HOSE  25 MM ID x LENGTH 2200MM 1'BSP(F)BOTH END SWIVEL NUT</t>
  </si>
  <si>
    <t>S30020106</t>
  </si>
  <si>
    <t>PRESSURE GAUGE 4'' DIAL 0-160KG/CM², BCPM.GLY, FILLED</t>
  </si>
  <si>
    <t>S30020176</t>
  </si>
  <si>
    <t>WITHDRAWAL HYDRAULIC CYLINDER (EXIT) PISTON ROD  LENGTH-600 DIA-70MM</t>
  </si>
  <si>
    <t>S30020177</t>
  </si>
  <si>
    <t>WITHDRAWAL HYDRAULIC CYLINDER (ENTRY) PISTON ROD  LENGTH-500MM DIA-70MM</t>
  </si>
  <si>
    <t>S32010044</t>
  </si>
  <si>
    <t>Diesel</t>
  </si>
  <si>
    <t>S32010055</t>
  </si>
  <si>
    <t>HIGH TEMPERATURE BEARING GREASE -LGHP 2/5</t>
  </si>
  <si>
    <t>S37010123</t>
  </si>
  <si>
    <t>TAP HANDLE 12'</t>
  </si>
  <si>
    <t>S37010124</t>
  </si>
  <si>
    <t>TAP HANDLE 18'</t>
  </si>
  <si>
    <t>MECHANICAL - IF</t>
  </si>
  <si>
    <t>S01010011</t>
  </si>
  <si>
    <t>WATER COOLED CABLE, 520 SQ.MM, IF SPARE</t>
  </si>
  <si>
    <t>S01010014</t>
  </si>
  <si>
    <t>TOP CASTING BLOCK, 30TON, JK, IF SPARE</t>
  </si>
  <si>
    <t>S01010016</t>
  </si>
  <si>
    <t>TOP SS COIL 30T JK, M37680 LOW FREQUENCY, IF SPARE</t>
  </si>
  <si>
    <t>S01010017</t>
  </si>
  <si>
    <t>BOTTOM SS COIL 30T JK, M37680 LOW FREQUENCY,IF SPARE</t>
  </si>
  <si>
    <t>S01010019</t>
  </si>
  <si>
    <t>HYDRAULIC CYLINDER-SEAL KIT,ID 320, IF SPARE</t>
  </si>
  <si>
    <t>S01010036</t>
  </si>
  <si>
    <t>PUMP SEAL FOR DM PUMP INV, IF SPARE</t>
  </si>
  <si>
    <t>S01010096</t>
  </si>
  <si>
    <t>FLEXIBLE DRIVE GEAR COUPLING, MODEL NO-M-55,PART NO-0300, IF SPARE</t>
  </si>
  <si>
    <t>S01010137</t>
  </si>
  <si>
    <t>UP CYLINDER 140X100 SEAL KIT FOR SLIDING BOOM PUSHER</t>
  </si>
  <si>
    <t>S01010139</t>
  </si>
  <si>
    <t>DOWN CYLINDER 140X100 MM SEAL KIT FOR SLIDING BOOM PUSHER</t>
  </si>
  <si>
    <t>S01010183</t>
  </si>
  <si>
    <t>NON FLEXIBLE MICA RING SHEET , OD-2000MM,ID-1900MM, THICKNESS-12MM.</t>
  </si>
  <si>
    <t>S01010198</t>
  </si>
  <si>
    <t>NON FLEXIBLE MICA RING SHEET;OD-2000MM,ID-1920MM,THICKNESS-10MM</t>
  </si>
  <si>
    <t>S01010199</t>
  </si>
  <si>
    <t>NON FLEXIBLE MICA RING SHEET; OD-2000MM,ID-1920MM, THICKNESS-12MM</t>
  </si>
  <si>
    <t>S01020005</t>
  </si>
  <si>
    <t>CONTAINER SHEARING MACHINE  BLADES</t>
  </si>
  <si>
    <t>S02010068</t>
  </si>
  <si>
    <t>PULLEY 1876E B.B - PD630/720 FOR 80 MT EOT CRANE</t>
  </si>
  <si>
    <t>S02010095</t>
  </si>
  <si>
    <t>WIRE ROPE U CLAMP -24MM</t>
  </si>
  <si>
    <t>S02010121</t>
  </si>
  <si>
    <t>WIRE ROPE DIA 18MM 6X36 STEEL CORE, LENGTH-120M</t>
  </si>
  <si>
    <t>S02010132</t>
  </si>
  <si>
    <t>UPPER TIE ROD FOR NV-315</t>
  </si>
  <si>
    <t>S02010162</t>
  </si>
  <si>
    <t>WIRE ROPE DIA 20 MM, 6X36 STEEL CORE, LENGTH-190 METER</t>
  </si>
  <si>
    <t>S02010169</t>
  </si>
  <si>
    <t>WIRE ROPE DIA 20MM 6x36 STEEL CORE, LENGTH-72 MTR</t>
  </si>
  <si>
    <t>S02010252</t>
  </si>
  <si>
    <t>WIRE ROPE DIA 18 MM 6X36 STEEL CORE, LENGTH-180 METER</t>
  </si>
  <si>
    <t>S02010297</t>
  </si>
  <si>
    <t>TIE BEAM SHAFT FOR 80/30TON EOT CRANE</t>
  </si>
  <si>
    <t>S07010003</t>
  </si>
  <si>
    <t>HIGH MANGANESE ROLLER CRUSHER BLADES MANGANESE (13.5%-14%)</t>
  </si>
  <si>
    <t>S07010006</t>
  </si>
  <si>
    <t>HIGH MANGANESE GRINDING MILL BLADES MANGANESE(16%-19%),GRADE-7</t>
  </si>
  <si>
    <t>S07010009</t>
  </si>
  <si>
    <t>JAW PLATE  SIZE :- 737MM X 600MM X 90MM (FIXED)</t>
  </si>
  <si>
    <t>S07010010</t>
  </si>
  <si>
    <t>JAW PLATE SIZE :- 812MM X 525MM X 90MM (MOVING)</t>
  </si>
  <si>
    <t>S07010011</t>
  </si>
  <si>
    <t>GRINDING MILL INNER LINING PLATE</t>
  </si>
  <si>
    <t>S07010019</t>
  </si>
  <si>
    <t>GRINDING MILL BOTTOM LINING PLATE, ARC LENGTH-385 MM, WIDTH-330 MM</t>
  </si>
  <si>
    <t>S08010180</t>
  </si>
  <si>
    <t>ALLEN KEY BOLT (10 X35) MM, FULL THREADED</t>
  </si>
  <si>
    <t>S08010196</t>
  </si>
  <si>
    <t>ALLEN BOLT M 8 X 30 MM</t>
  </si>
  <si>
    <t>S08050001</t>
  </si>
  <si>
    <t>HT BOLT NUT, WITH DOUBLE WASHER, FULL THREAD, GR-8.8, M20X150MM</t>
  </si>
  <si>
    <t>S08050382</t>
  </si>
  <si>
    <t>HT BOLT AND NUT WITH DOUBLE WASHER M25X150</t>
  </si>
  <si>
    <t>S08050383</t>
  </si>
  <si>
    <t>HT BOLT AND NUT WITH DOUBLE WASHER M25X100</t>
  </si>
  <si>
    <t>S08050412</t>
  </si>
  <si>
    <t>HT BOLT M12 X 75 (BOLT,NUT,DOUBLE WASHER) FULL THREAD</t>
  </si>
  <si>
    <t>S08050415</t>
  </si>
  <si>
    <t>HT BOLT M24 X 150 (BOLT,NUT,DOUBLE WASHER) FULL THREAD</t>
  </si>
  <si>
    <t>S08050419</t>
  </si>
  <si>
    <t>HT BOLT,NUT &amp; WASHER M30 x 200,FULL THREAD</t>
  </si>
  <si>
    <t>S08050453</t>
  </si>
  <si>
    <t>HT HEX NUT, BOLT, WASHER M12 X 75</t>
  </si>
  <si>
    <t>S08050462</t>
  </si>
  <si>
    <t>HT CSK SLOTTED HEAD SCREW,SPRING WASHER &amp; NUT, M10 X 30</t>
  </si>
  <si>
    <t>S08050470</t>
  </si>
  <si>
    <t>HIGH TENSILE COUPLING BOLT(12X50MM) WITH SPRING WASHER AND NUT HALF THREAD (GRADE-8.8)</t>
  </si>
  <si>
    <t>S08050477</t>
  </si>
  <si>
    <t>HT BOLT NUT WITH SPRING &amp; PLAIN WASHER M 16 MM X 200 MM</t>
  </si>
  <si>
    <t>S08050479</t>
  </si>
  <si>
    <t>HT BOLT NUT WITH SPRING &amp; PLAIN WASHER M 22 MM X 75 MM</t>
  </si>
  <si>
    <t>S08050480</t>
  </si>
  <si>
    <t>HT BOLT, NUT, WITH DOUBLE WASHER, M24 X 180 MM LENGTH, FULL THREADED</t>
  </si>
  <si>
    <t>S08050487</t>
  </si>
  <si>
    <t>HT BOLT WITH NUT ,SPRING &amp; PLAIN WASHER ,SIZE -M20 X 140 THREAD LENGTH-50MM</t>
  </si>
  <si>
    <t>S08070198</t>
  </si>
  <si>
    <t>ALLEN KEY BOLT M 10X25 FULL THREADED</t>
  </si>
  <si>
    <t>S08070205</t>
  </si>
  <si>
    <t>ALLEN KEY BOLT M 10X100 HALF THREADED</t>
  </si>
  <si>
    <t>S08070223</t>
  </si>
  <si>
    <t>MS BOLT AND NUT WITH DOUBLE WASHER M25X350</t>
  </si>
  <si>
    <t>S08070304</t>
  </si>
  <si>
    <t>MS HEX BOLT M8 X 30</t>
  </si>
  <si>
    <t>S08070306</t>
  </si>
  <si>
    <t>MS HEX BOLT M10 X 50</t>
  </si>
  <si>
    <t>S08070313</t>
  </si>
  <si>
    <t>MS HEX BOLT M12 X 65</t>
  </si>
  <si>
    <t>S08070314</t>
  </si>
  <si>
    <t>MS HEX BOLT M12 X 75</t>
  </si>
  <si>
    <t>S08070315</t>
  </si>
  <si>
    <t>MS HEX BOLT M16 X 100</t>
  </si>
  <si>
    <t>S08070316</t>
  </si>
  <si>
    <t>MS HEX BOLT M16 X 150</t>
  </si>
  <si>
    <t>S08070331</t>
  </si>
  <si>
    <t>MS HEX NUT M8</t>
  </si>
  <si>
    <t>S08070332</t>
  </si>
  <si>
    <t>MS HEX NUT M10</t>
  </si>
  <si>
    <t>S08070336</t>
  </si>
  <si>
    <t>MS PLAIN WASHER 8MM</t>
  </si>
  <si>
    <t>S08070347</t>
  </si>
  <si>
    <t>MS HEX BOLT 30X300MM</t>
  </si>
  <si>
    <t>S08070348</t>
  </si>
  <si>
    <t>MS HEX NUT 30MM</t>
  </si>
  <si>
    <t>S08080335</t>
  </si>
  <si>
    <t>GRUB SCREW, SIZE- M8X20 (GRADE-10.9)</t>
  </si>
  <si>
    <t>S08080336</t>
  </si>
  <si>
    <t>GRUB SCREW, SIZE- M10X20 (GRADE-10.9)</t>
  </si>
  <si>
    <t>S08090183</t>
  </si>
  <si>
    <t>HEX BOLT, SS 304, M10X40, FULL THREAD WITH NUT &amp; DOUBLE WASHER</t>
  </si>
  <si>
    <t>S08090185</t>
  </si>
  <si>
    <t>HEX BOLT, SS 304, M10X75, FULL THREAD WITH NUT &amp; DOUBLE WASHER</t>
  </si>
  <si>
    <t>S08090189</t>
  </si>
  <si>
    <t>HEX BOLT, SS 304, M12X60, FULL THREAD WITH NUT &amp; DOUBLE WASHER</t>
  </si>
  <si>
    <t>S08090193</t>
  </si>
  <si>
    <t>HEX BOLT, SS 304, M12X150, FULL THREAD WITH NUT &amp; DOUBLE WASHER</t>
  </si>
  <si>
    <t>S08090196</t>
  </si>
  <si>
    <t>HEX BOLT, SS 304, M16X75, FULL THREAD WITH NUT &amp; DOUBLE WASHER</t>
  </si>
  <si>
    <t>S08090197</t>
  </si>
  <si>
    <t>HEX BOLT, SS 304, M16X100, FULL THREAD WITH NUT &amp; DOUBLE WASHER</t>
  </si>
  <si>
    <t>S08090207</t>
  </si>
  <si>
    <t>SS 304 BOLT, NUT, 2 PLAIN WASHER &amp; 1 SPRING WASHER, M 10 X 50 MM</t>
  </si>
  <si>
    <t>S08090208</t>
  </si>
  <si>
    <t>SS 304 BOLT, NUT, 2 PLAIN WASHER &amp; 1 SPRING WASHER, M 12 X 50 MM</t>
  </si>
  <si>
    <t>S08090209</t>
  </si>
  <si>
    <t>SS 304 BOLT, NUT, 2 PLAIN WASHER &amp; 1 SPRING WASHER, M 12 X 65 MM</t>
  </si>
  <si>
    <t>S08090214</t>
  </si>
  <si>
    <t>SS BOLT M 10 X 65 MM FULL THREADED WITH SINGLE NUT AND DOUBLE WASHER</t>
  </si>
  <si>
    <t>S08090218</t>
  </si>
  <si>
    <t>SS BOLT M24X400  HALF THREADED, DOUBLE NUT &amp; WASHER</t>
  </si>
  <si>
    <t>S08090219</t>
  </si>
  <si>
    <t>HEX BOLT, SS 304, M14X60, FULL THREAD WITH NUT &amp; DOUBLE WASHER</t>
  </si>
  <si>
    <t>S11010353</t>
  </si>
  <si>
    <t>GI Nipples 1/2'' x 6''</t>
  </si>
  <si>
    <t>S11010471</t>
  </si>
  <si>
    <t xml:space="preserve">MS Sockets 1/2 </t>
  </si>
  <si>
    <t>S11010825</t>
  </si>
  <si>
    <t>Butterfly Valve 100mm</t>
  </si>
  <si>
    <t>S11010838</t>
  </si>
  <si>
    <t>C.S Ball Valve  3/4''</t>
  </si>
  <si>
    <t>S11010840</t>
  </si>
  <si>
    <t>C.S Ball Valve 1/2</t>
  </si>
  <si>
    <t>S11010841</t>
  </si>
  <si>
    <t>C.S Ball Valve 11/2</t>
  </si>
  <si>
    <t>S11010890</t>
  </si>
  <si>
    <t>SS Ball Valve 1/4</t>
  </si>
  <si>
    <t>S11011013</t>
  </si>
  <si>
    <t>Lift Chain block 3 Ton x 10 Mtr</t>
  </si>
  <si>
    <t>S11011017</t>
  </si>
  <si>
    <t>Paint Brush 3</t>
  </si>
  <si>
    <t>S11011036</t>
  </si>
  <si>
    <t>Paint Rollers</t>
  </si>
  <si>
    <t>S11011042</t>
  </si>
  <si>
    <t>Red Oxide Zinc Chromate Primer Paint</t>
  </si>
  <si>
    <t>S11011047</t>
  </si>
  <si>
    <t>Smoke Grey Paint</t>
  </si>
  <si>
    <t>S11020151</t>
  </si>
  <si>
    <t>JUBILEE CLAMP,SS,SIZE-3'</t>
  </si>
  <si>
    <t>S11020438</t>
  </si>
  <si>
    <t>NYLON BRAIDED AIR HOSE PIPE 3/8'</t>
  </si>
  <si>
    <t>S11020441</t>
  </si>
  <si>
    <t>MS NIPPLE 1/2'</t>
  </si>
  <si>
    <t>S11020732</t>
  </si>
  <si>
    <t>HEX NIPPLE, SS, C-CLASS, NB-1'</t>
  </si>
  <si>
    <t>S11020777</t>
  </si>
  <si>
    <t>CARBON FREE HOSE PIPE -ID 25MM</t>
  </si>
  <si>
    <t>S11020837</t>
  </si>
  <si>
    <t>MS PIPE NIPPLE, THREADED, SIZE : OD 1 1/2' X 6' LONG</t>
  </si>
  <si>
    <t>S11020903</t>
  </si>
  <si>
    <t>CARBON FREE HOSE PIPE 2-1/2 INCH (63.5MM) 200 PSI (1.38MPA)</t>
  </si>
  <si>
    <t>S11021042</t>
  </si>
  <si>
    <t>M.S. PIPE BARREL NIPPLE MALE SIZE 1/2''X4'</t>
  </si>
  <si>
    <t>S11021130</t>
  </si>
  <si>
    <t>SMC FITTINGS ID-12MM</t>
  </si>
  <si>
    <t>S11021290</t>
  </si>
  <si>
    <t>BRASS REDUCING HEX NIPPLE 3/8' BSP(M) X 1/4' NPT(M)</t>
  </si>
  <si>
    <t>S11040916</t>
  </si>
  <si>
    <t>SS GLOBE VALVE 1', SOCKET WELD TYPE</t>
  </si>
  <si>
    <t>S11040996</t>
  </si>
  <si>
    <t>DUAL CHECK NRV WAFER TYPE CLASS 150 SIZE -4'</t>
  </si>
  <si>
    <t>S11041022</t>
  </si>
  <si>
    <t>NRV 6' SWING TYPE WATER LINE</t>
  </si>
  <si>
    <t>S11081018</t>
  </si>
  <si>
    <t>LIFT CHAIN BLOCK 1 TON X 10 MTR</t>
  </si>
  <si>
    <t>S11081040</t>
  </si>
  <si>
    <t>WIRE ROPE PULLEY - 10 TON CAPACITY, TYPE-SINGLE WHEEL PULLEY. EXTRA HEAVY DUTY.</t>
  </si>
  <si>
    <t>S11101169</t>
  </si>
  <si>
    <t>DIRECTIONAL CONTROL VALVE,MODEL NO-4WE10G30/CRA220N9K4Z5LS,</t>
  </si>
  <si>
    <t>S11170046</t>
  </si>
  <si>
    <t>SUPER CHARGE RESIN FOR DM WATER</t>
  </si>
  <si>
    <t>S12010026</t>
  </si>
  <si>
    <t>Belt Fastners 2</t>
  </si>
  <si>
    <t>BOX</t>
  </si>
  <si>
    <t>S12010097</t>
  </si>
  <si>
    <t>HT Bolt, Nut, Washer M 16 X 65 MM</t>
  </si>
  <si>
    <t>S12010099</t>
  </si>
  <si>
    <t>MS Bolt, Nut, Washer M 16 X 65 MM</t>
  </si>
  <si>
    <t>S12010109</t>
  </si>
  <si>
    <t>MS Bolt, Nut, Washer M 20 X 50 MM</t>
  </si>
  <si>
    <t>S12010174</t>
  </si>
  <si>
    <t>SS Bolt, Nut, Washer M 8 X 50 MM</t>
  </si>
  <si>
    <t>S12010205</t>
  </si>
  <si>
    <t>Bench Grinding Wheel Rough</t>
  </si>
  <si>
    <t>S12010220</t>
  </si>
  <si>
    <t>Pipe Wrench 24 (600 mm)</t>
  </si>
  <si>
    <t>S12010227</t>
  </si>
  <si>
    <t>Allen Key Set( size - inc)</t>
  </si>
  <si>
    <t>S12010242</t>
  </si>
  <si>
    <t>DE Spanner 20 x 22</t>
  </si>
  <si>
    <t>S12010256</t>
  </si>
  <si>
    <t>Measurement Tape 3 Mtr</t>
  </si>
  <si>
    <t>S12010312</t>
  </si>
  <si>
    <t>Araldite</t>
  </si>
  <si>
    <t>S12010318</t>
  </si>
  <si>
    <t>Fevicol</t>
  </si>
  <si>
    <t>S12010351</t>
  </si>
  <si>
    <t>RAIL CLAMP FOR CR100 RAIL</t>
  </si>
  <si>
    <t>S12020221</t>
  </si>
  <si>
    <t>BENCH GRINDING WHEEL SIZE: 25 MM THICKNESS X 32 MM ID X 200 MM OD, GRADE - G C G 60 ( GREEN WHEEL)</t>
  </si>
  <si>
    <t>S12030340</t>
  </si>
  <si>
    <t>STAINLESS STEEL HSS CENTRE DRILL BITS,- 3/8' X 75 MM </t>
  </si>
  <si>
    <t>S12030341</t>
  </si>
  <si>
    <t>STAINLESS STEEL HSS CENTRE DRILL BITS - 1/2' X 75 MM</t>
  </si>
  <si>
    <t>S12040024</t>
  </si>
  <si>
    <t>HACKSAW FRAME WITH BLADE 12 INCH TAPARIA</t>
  </si>
  <si>
    <t>S12040072</t>
  </si>
  <si>
    <t>DOUBLE PLY WEBBING SLINGS FLAT BELT 50MM 5METER  (LIFTING CAPACITY : 3 TON)</t>
  </si>
  <si>
    <t>S12040319</t>
  </si>
  <si>
    <t>WIRE ROPE DIA DIA 18MM 6X36 STEEL CORE, LENGTH-160M</t>
  </si>
  <si>
    <t>S12040416</t>
  </si>
  <si>
    <t>PENCIL GRINDING WHEEL CYLINDRICAL- 20 X 60 X 6</t>
  </si>
  <si>
    <t>S12040455</t>
  </si>
  <si>
    <t>DRILL SOCKET 5-6 NO.</t>
  </si>
  <si>
    <t>S12040503</t>
  </si>
  <si>
    <t>WHITE TOOL 1/2'' X 6''</t>
  </si>
  <si>
    <t>S12040520</t>
  </si>
  <si>
    <t>CARBIDE TOOL BIT V SHAPE 12 MM</t>
  </si>
  <si>
    <t>S12040536</t>
  </si>
  <si>
    <t>DRILL BIT 36 MM, TAPPER SHANK</t>
  </si>
  <si>
    <t>S12040584</t>
  </si>
  <si>
    <t>CARBIDE TOOL BIT RIGHT SIDE 12 MM</t>
  </si>
  <si>
    <t>S12040586</t>
  </si>
  <si>
    <t>CARBIDE TOOL BIT RIGHT SIDE 20 MM</t>
  </si>
  <si>
    <t>S12040589</t>
  </si>
  <si>
    <t>CARBIDE TOOL BIT LEFT SIDE 20 MM</t>
  </si>
  <si>
    <t>S12050340</t>
  </si>
  <si>
    <t>ARALDITE STANDARD EPOXY RESIN - AW 106 IN</t>
  </si>
  <si>
    <t>S12050341</t>
  </si>
  <si>
    <t>ARALDITE STANDARD EPOXY HARDENER - HV 953 IN</t>
  </si>
  <si>
    <t>S13010736</t>
  </si>
  <si>
    <t>HYDRO MOTOR MODEL:-MATY 315C</t>
  </si>
  <si>
    <t>S13100500</t>
  </si>
  <si>
    <t>MEGACOAT, HV COIL INSULATION PAINT, 5KV</t>
  </si>
  <si>
    <t>S14010007</t>
  </si>
  <si>
    <t>Asbestos Hand Gloves 18''</t>
  </si>
  <si>
    <t>S14010032</t>
  </si>
  <si>
    <t>Nose Masks</t>
  </si>
  <si>
    <t>S14010063</t>
  </si>
  <si>
    <t>LEATHER HAND GLOVES 18' INCH</t>
  </si>
  <si>
    <t>S15010067</t>
  </si>
  <si>
    <t>Jaw Crusher Half Square Bush 12 x 20</t>
  </si>
  <si>
    <t>S15010269</t>
  </si>
  <si>
    <t>WIRE ROLL 1.2 MM SIZE FOR MIG WELDING</t>
  </si>
  <si>
    <t>S15010313</t>
  </si>
  <si>
    <t>BRAKE SHOE LINER DIA 400MM</t>
  </si>
  <si>
    <t>S15010314</t>
  </si>
  <si>
    <t>BRAKE SHOE LINER DIA 315MM</t>
  </si>
  <si>
    <t>S15010616</t>
  </si>
  <si>
    <t>COPPER BUSH OD-20MM, ID-M12 THREADED, HEIGHT-25MM</t>
  </si>
  <si>
    <t>S15010617</t>
  </si>
  <si>
    <t>SS 304 BUSH OD-20MM, ID-M12 THREADED, HEIGHT-25MM</t>
  </si>
  <si>
    <t>S15010721</t>
  </si>
  <si>
    <t>INTERNAL CIRCLIP - 180</t>
  </si>
  <si>
    <t>S15020303</t>
  </si>
  <si>
    <t>PAINT SPRAY GUN</t>
  </si>
  <si>
    <t>S15020318</t>
  </si>
  <si>
    <t>PLATED SLOTTED COUNTERSUNK HEAD SCREW -M10X40MM NUT &amp; WASHER FULL THREAD</t>
  </si>
  <si>
    <t>S15020361</t>
  </si>
  <si>
    <t>INTERNAL CIRCLIP , BORE-173MM,OD-190MM,THICKNESS-4MM</t>
  </si>
  <si>
    <t>S16010197</t>
  </si>
  <si>
    <t>Oil Seals 55 x 80 x 10</t>
  </si>
  <si>
    <t>S16010219</t>
  </si>
  <si>
    <t>Asbestos Rope 16MM</t>
  </si>
  <si>
    <t>S16010225</t>
  </si>
  <si>
    <t>Asbestos Rope 6MM</t>
  </si>
  <si>
    <t>S16020101</t>
  </si>
  <si>
    <t>CARBON FREE HOSE PIPE SIZE- 19MM (3/4')</t>
  </si>
  <si>
    <t>S16020102</t>
  </si>
  <si>
    <t>CARBON FREE HOSE PIPE SIZE- 25MM (1')</t>
  </si>
  <si>
    <t>S16020103</t>
  </si>
  <si>
    <t>CARBON FREE HOSE PIPE SIZE-31.5MM (1.26') (17bar)</t>
  </si>
  <si>
    <t>S16020104</t>
  </si>
  <si>
    <t>CARBON FREE HOSE PIPE SIZE-38MM (1 1/2') (17 bar)</t>
  </si>
  <si>
    <t>S16020106</t>
  </si>
  <si>
    <t>CARBON FREE HOSE PIPE SIZE- 102MM (4') (10 bar)</t>
  </si>
  <si>
    <t>S16020174</t>
  </si>
  <si>
    <t>KLIPCO S.S WORM DRIVE HOSE CLAPM SIZE-35A</t>
  </si>
  <si>
    <t>S16020175</t>
  </si>
  <si>
    <t>KLIPCO S.S WORM DRIVE HOSE CLAPM SIZE-1X</t>
  </si>
  <si>
    <t>S16020176</t>
  </si>
  <si>
    <t>KLIPCO S.S WORM DRIVE HOSE CLAPM SIZE-2</t>
  </si>
  <si>
    <t>S16020196</t>
  </si>
  <si>
    <t>HYDRAULIC HOSE PIPE (210BAR) BOTH SIDE FEMALE SOCKET 1/2' (BSP),LENGTH-1400 MM ,EXTERNAL SS WIRE BRA</t>
  </si>
  <si>
    <t>S16020197</t>
  </si>
  <si>
    <t>HYDRAULIC HOSE PIPE (210BAR) BOTH SIDE FEMALE SOCKET 1/2' (BSP)X 4000 MM LONG,EXTERNAL SS WIRE BRAID</t>
  </si>
  <si>
    <t>S16020199</t>
  </si>
  <si>
    <t>HYDRAULIC HOSE PIPE (210BAR) ONE END FEMALE SOCKET 1/2' (BSP),ANOTHER END 90° BEND FEMALE SOCKET 1/2</t>
  </si>
  <si>
    <t>S16020200</t>
  </si>
  <si>
    <t>HYDRAULIC HOSE PIPE (210BAR) BOTH SIDE FEMALE SOCKET 1/4' (BSP)X 4000 MM LONG,EXTERNAL SS WIRE BRAID</t>
  </si>
  <si>
    <t>S16020201</t>
  </si>
  <si>
    <t>HYDRAULIC HOSE PIPE (210BAR) ONE END FEMALE SOCKET 1/4' (BSP),ANOTHER END 90° BEND FEMALE SOCKET 1/4</t>
  </si>
  <si>
    <t>S16020216</t>
  </si>
  <si>
    <t>HYDRAULIC HOSE PIPE (275BAR) BOTH END FEMALE SOCKET 1/2' X 1000MM LENGTH, 90° BEND</t>
  </si>
  <si>
    <t>S16020247</t>
  </si>
  <si>
    <t>KLIPCO S.S WORM DRIVE HOSE CLAMP SIZE-2A</t>
  </si>
  <si>
    <t>S16040302</t>
  </si>
  <si>
    <t>SEAL KIT FOR SCRAP CHARGING TROLLEY, 10 TON</t>
  </si>
  <si>
    <t>S16040330</t>
  </si>
  <si>
    <t>OIL SEAL SINGLE LIP REG. M.I TYP. 30 ID X 40 OD X 07 THK - NBR</t>
  </si>
  <si>
    <t>S16040337</t>
  </si>
  <si>
    <t>OIL SEAL 50 X 65 X 9</t>
  </si>
  <si>
    <t>S16040517</t>
  </si>
  <si>
    <t>OIL SEAL 55 X 90 X 10</t>
  </si>
  <si>
    <t>S17010073</t>
  </si>
  <si>
    <t>Carrying Idlers 200 x 90 MM</t>
  </si>
  <si>
    <t>S17010120</t>
  </si>
  <si>
    <t>Return Idler 114 x 650mm Long</t>
  </si>
  <si>
    <t>S17010217</t>
  </si>
  <si>
    <t>V Belt C  182</t>
  </si>
  <si>
    <t>S17010272</t>
  </si>
  <si>
    <t>15TON CRANE HOIST GEAR BOX OUTPUT SHAFT, (35 Z (TEETH) X 7 M (MODULE) X SPUR),MOC:EN9</t>
  </si>
  <si>
    <t>S17020155</t>
  </si>
  <si>
    <t>CONVEYOR BELT M24 GRADE 600 X 4 PLY X 12 MM</t>
  </si>
  <si>
    <t>S17020157</t>
  </si>
  <si>
    <t>CARRYING IDLER 300 X 90 MM</t>
  </si>
  <si>
    <t>S17020158</t>
  </si>
  <si>
    <t>RETURN IDLER 990 X 90 MM</t>
  </si>
  <si>
    <t>S17020165</t>
  </si>
  <si>
    <t>CONVEYOR CARRYING IDLER (300MM) STAND</t>
  </si>
  <si>
    <t>S17020171</t>
  </si>
  <si>
    <t>HEAD PULLEY DIA 330 MM X 650 MM LONG X SHAFT LENGTH 980 MM X SHAFT DIA 50 MM.</t>
  </si>
  <si>
    <t>S17020172</t>
  </si>
  <si>
    <t>TAIL PULLEY DIA 330MM X 650MM LONG X SHAFT LENGTH 910 MM X SHAFT DIA 50 MM.</t>
  </si>
  <si>
    <t>S17030321</t>
  </si>
  <si>
    <t>FULL GEAR COUPLING 102</t>
  </si>
  <si>
    <t>S17030322</t>
  </si>
  <si>
    <t>FULL GEAR COUPLING 103</t>
  </si>
  <si>
    <t>S17030375</t>
  </si>
  <si>
    <t>SPROCKET 1', NUMBER OF TEETH-23</t>
  </si>
  <si>
    <t>S17030377</t>
  </si>
  <si>
    <t>V BELT C-195</t>
  </si>
  <si>
    <t>S17030378</t>
  </si>
  <si>
    <t>V BELT C-130</t>
  </si>
  <si>
    <t>S17030385</t>
  </si>
  <si>
    <t>SPROCKET DIA -230MM, NO.OF TEETH-44</t>
  </si>
  <si>
    <t>S17030387</t>
  </si>
  <si>
    <t>SPROCKET DIA -80MM , NO.OF TEETH-14</t>
  </si>
  <si>
    <t>S17030412</t>
  </si>
  <si>
    <t>SIMPLEX CHAIN 5/8'</t>
  </si>
  <si>
    <t>S17030479</t>
  </si>
  <si>
    <t>NYLON GEAR COUPLING SLEEVE M - 48</t>
  </si>
  <si>
    <t>S17030503</t>
  </si>
  <si>
    <t>SPROCKET-OD-85 MM. ID-16 MM. TEETH- 15 NOS. THICKNESS-10 MM. PITCH-15.5 MM</t>
  </si>
  <si>
    <t>S17030518</t>
  </si>
  <si>
    <t>DUPLEX CHAIN LOCK 5/8'</t>
  </si>
  <si>
    <t>S17030571</t>
  </si>
  <si>
    <t>CHAIN SPROCKET SIMPLEX 5/8' X 22 TEETH</t>
  </si>
  <si>
    <t>S17030618</t>
  </si>
  <si>
    <t>FLEXIBLE DRIVE GEAR COUPLING  NYLON SLEEVE, MODEL NO-JT-48,50T</t>
  </si>
  <si>
    <t>S17030654</t>
  </si>
  <si>
    <t>V Belt B 84</t>
  </si>
  <si>
    <t>S17030701</t>
  </si>
  <si>
    <t>SIMPLEX CHAIN 1' X 3.048 MTR</t>
  </si>
  <si>
    <t>S18060037</t>
  </si>
  <si>
    <t>LPG gas Cylinder 19 kgs</t>
  </si>
  <si>
    <t>S21010055</t>
  </si>
  <si>
    <t>SS 304 Shim 0.2mm</t>
  </si>
  <si>
    <t>S21010056</t>
  </si>
  <si>
    <t>SS 304 Shim 0.3mm</t>
  </si>
  <si>
    <t>S21010229</t>
  </si>
  <si>
    <t>MS CHANNEL,ISMC-75MMx40MM</t>
  </si>
  <si>
    <t>S21010271</t>
  </si>
  <si>
    <t>MS PLATE,PLAIN,THICKNESS-6MM</t>
  </si>
  <si>
    <t>S21010275</t>
  </si>
  <si>
    <t>MS PLATE,PLAIN,THICKNESS-16MM</t>
  </si>
  <si>
    <t>S21010278</t>
  </si>
  <si>
    <t>MS PLATE,PLAIN,THICKNESS-25MM</t>
  </si>
  <si>
    <t>S21010327</t>
  </si>
  <si>
    <t>MS PLATE, PLAIN, THICKNESS - 4MM</t>
  </si>
  <si>
    <t>S21030136</t>
  </si>
  <si>
    <t>FRP ROUND BAR DIA - 50 MM</t>
  </si>
  <si>
    <t>S21030204</t>
  </si>
  <si>
    <t>STRAIGHT BAR SS-304, DIA 6 MM</t>
  </si>
  <si>
    <t>S24010013</t>
  </si>
  <si>
    <t>Welding Cable 50MM Copper</t>
  </si>
  <si>
    <t>S24010014</t>
  </si>
  <si>
    <t>Welding Electrodes (7018) 3.15mm</t>
  </si>
  <si>
    <t>S24010039</t>
  </si>
  <si>
    <t>Oxygen Cylinders</t>
  </si>
  <si>
    <t>S24010041</t>
  </si>
  <si>
    <t>Oxygen Regulator Single Stage</t>
  </si>
  <si>
    <t>S24010043</t>
  </si>
  <si>
    <t>Gas Lighter</t>
  </si>
  <si>
    <t>S24010095</t>
  </si>
  <si>
    <t>COPPER BRAZING ROD , 3.15 MM</t>
  </si>
  <si>
    <t>S24010104</t>
  </si>
  <si>
    <t>MANUAL MIG WELDING TORCH WITH NOZZLE</t>
  </si>
  <si>
    <t>S24010120</t>
  </si>
  <si>
    <t>MIG CONTACT TIP M8 28</t>
  </si>
  <si>
    <t>S25010030</t>
  </si>
  <si>
    <t>Bearing 22324</t>
  </si>
  <si>
    <t>S25010059</t>
  </si>
  <si>
    <t>Bearing 4904</t>
  </si>
  <si>
    <t>S25010092</t>
  </si>
  <si>
    <t>Bearing P-210</t>
  </si>
  <si>
    <t>S25010114</t>
  </si>
  <si>
    <t>Bearings 6207ZZ 2RSC3</t>
  </si>
  <si>
    <t>S25010278</t>
  </si>
  <si>
    <t>BEARING T- 212</t>
  </si>
  <si>
    <t>S25010329</t>
  </si>
  <si>
    <t>SPHERICAL ROLLER BEARING- 23226K TAPER</t>
  </si>
  <si>
    <t>S25010336</t>
  </si>
  <si>
    <t>SLEEVE H-2326</t>
  </si>
  <si>
    <t>S25010343</t>
  </si>
  <si>
    <t>SLEEVE H-2326 HE</t>
  </si>
  <si>
    <t>S25010350</t>
  </si>
  <si>
    <t>BEARING NO - 6006 ZZ C3</t>
  </si>
  <si>
    <t>S25010351</t>
  </si>
  <si>
    <t>BEARING NO - 6010 ZZ C3</t>
  </si>
  <si>
    <t>S25010373</t>
  </si>
  <si>
    <t>BEARING 6311 Z</t>
  </si>
  <si>
    <t>S25010422</t>
  </si>
  <si>
    <t>BEARING NO 21320 C3</t>
  </si>
  <si>
    <t>S25010451</t>
  </si>
  <si>
    <t>BEARING NO - 22211 EW33J</t>
  </si>
  <si>
    <t>S25010465</t>
  </si>
  <si>
    <t>PLUMBER BLOCK SNA-628</t>
  </si>
  <si>
    <t>S26010140</t>
  </si>
  <si>
    <t>INSIDE MICROMETER (50 TO 300MM)</t>
  </si>
  <si>
    <t>S26070243</t>
  </si>
  <si>
    <t>PRESSURE GAUGE 0-280 KG/CM2, DIAL SIZE - 63 MM, 1/4 ' BSP CONNECTOR , MOUNTING - BACK SIDE( GL</t>
  </si>
  <si>
    <t>S28010009</t>
  </si>
  <si>
    <t>Ceramic Blanket - 25mm thck X 7.62 Mtr Length X 0.61 Mtr width</t>
  </si>
  <si>
    <t>S28020085</t>
  </si>
  <si>
    <t>FOUNDATION BOLTS, M48X900,THREAD LENGTH-200 AT BOTH END,WITH DOUBLE NUT, WASHER &amp; LOCK NUT</t>
  </si>
  <si>
    <t>S30010042</t>
  </si>
  <si>
    <t>Grease Gun Bucket 5Kgs</t>
  </si>
  <si>
    <t>S30010134</t>
  </si>
  <si>
    <t>OIL FILTER ELEMENT,PART NO:-CE 630 025 S3 SIZES(OD-135 X HIGHT-250 X ID-75MM)</t>
  </si>
  <si>
    <t>S30010149</t>
  </si>
  <si>
    <t>SUCTION STRAINER SC3-150, BSP THREAD 3 1/4' ,L-320 MM ,OD- 145MM</t>
  </si>
  <si>
    <t>S30020184</t>
  </si>
  <si>
    <t>PNEUMATIC AIR CYLINDER, MODEL NO : A16160250O MAX PRESSURE:-10 BAR</t>
  </si>
  <si>
    <t>S30020212</t>
  </si>
  <si>
    <t>METAL PNEUMATIC MALE CONNECTOR - 1/4 INCH (THREAD) X 10MM (PU CONNECTOR)</t>
  </si>
  <si>
    <t>S30030002</t>
  </si>
  <si>
    <t>Roto Excellence Oil 20ltrs, Part no : 1630207320</t>
  </si>
  <si>
    <t>S30030124</t>
  </si>
  <si>
    <t>OIL FILTER(201050D) FOR VENUS AIR COMPRESSOR TSC-100 PMV SCREW AIR COMPRESSOR</t>
  </si>
  <si>
    <t>S32010010</t>
  </si>
  <si>
    <t>Gear Oil 320</t>
  </si>
  <si>
    <t>S32010068</t>
  </si>
  <si>
    <t>HYDRAULIC OIL HLP-32</t>
  </si>
  <si>
    <t>S32010090</t>
  </si>
  <si>
    <t>GRESE-ALPLEX GEAR LUBE 1000 (NLGI-000)</t>
  </si>
  <si>
    <t>S32030041</t>
  </si>
  <si>
    <t>CARBON DIOXIDE CYLINDER (CO2 GAS CYLINDER)</t>
  </si>
  <si>
    <t>S37010112</t>
  </si>
  <si>
    <t>CUTTING WHITE TOOL 5/16'</t>
  </si>
  <si>
    <t>S37030053</t>
  </si>
  <si>
    <t>HEAVY DUTY ROLLER CRUSHER MACHINE CAPACITY-10 TPH</t>
  </si>
  <si>
    <t>PRODUCTION - IF</t>
  </si>
  <si>
    <t>R05040001</t>
  </si>
  <si>
    <t>FERRO SILICON</t>
  </si>
  <si>
    <t>R05050002</t>
  </si>
  <si>
    <t>ALUMINIUM INGOTS</t>
  </si>
  <si>
    <t>S06010027</t>
  </si>
  <si>
    <t>RAMMING MASS (PREMIX), BORON TRIOXIDE</t>
  </si>
  <si>
    <t>S11021264</t>
  </si>
  <si>
    <t>MS PIPE, SEAMLESS,  ID-235 MM, OD-285 MM</t>
  </si>
  <si>
    <t>S12010234</t>
  </si>
  <si>
    <t>Chiesels 24'' Point</t>
  </si>
  <si>
    <t>S12040001</t>
  </si>
  <si>
    <t>Flat chisel 12'</t>
  </si>
  <si>
    <t>S14010091</t>
  </si>
  <si>
    <t>BIKE HELMET</t>
  </si>
  <si>
    <t>S15010034</t>
  </si>
  <si>
    <t>Tata Shovel</t>
  </si>
  <si>
    <t>S15010204</t>
  </si>
  <si>
    <t>ASBESTOS SHEET, 3MM THICKNESS</t>
  </si>
  <si>
    <t>S16010209</t>
  </si>
  <si>
    <t>Asbestos Cloth</t>
  </si>
  <si>
    <t>S16030112</t>
  </si>
  <si>
    <t>NYLON ROPE DIA 16 MM</t>
  </si>
  <si>
    <t>S21010002</t>
  </si>
  <si>
    <t>TMT Bars 12 mm</t>
  </si>
  <si>
    <t>S21010337</t>
  </si>
  <si>
    <t>MS SHEET PLAIN 5000 MM X 1500 MM X 2.5 MM</t>
  </si>
  <si>
    <t>S21030028</t>
  </si>
  <si>
    <t>MS ROUND BAR 25 MM</t>
  </si>
  <si>
    <t>S22010230</t>
  </si>
  <si>
    <t>SODIUM SILICATE COMMERCIAL GRADE</t>
  </si>
  <si>
    <t>S22010337</t>
  </si>
  <si>
    <t>IMMERSION SAMPLER (ZR-600MM)</t>
  </si>
  <si>
    <t>S24020002</t>
  </si>
  <si>
    <t>STRAIGHT CUTTING TORCH (48')</t>
  </si>
  <si>
    <t>S26070158</t>
  </si>
  <si>
    <t>THERMOCOUPLE TEMPARATURE TIPS 900 MM, TYPE-R, MARK VII-900 MM,</t>
  </si>
  <si>
    <t>S28010019</t>
  </si>
  <si>
    <t>OPC Cement 53 Grade</t>
  </si>
  <si>
    <t>BAG</t>
  </si>
  <si>
    <t>S28020031</t>
  </si>
  <si>
    <t>CEMENT- GP2 GROUTING</t>
  </si>
  <si>
    <t>BGS</t>
  </si>
  <si>
    <t>S34010004</t>
  </si>
  <si>
    <t>Whytheat - C</t>
  </si>
  <si>
    <t>S34010008</t>
  </si>
  <si>
    <t>RAMMING MASS (ORDINARY)</t>
  </si>
  <si>
    <t>S34010010</t>
  </si>
  <si>
    <t>WHYTHEAT-A</t>
  </si>
  <si>
    <t>S34010028</t>
  </si>
  <si>
    <t>REMIX POWDER (ALUMINA-75%)</t>
  </si>
  <si>
    <t>S34010036</t>
  </si>
  <si>
    <t>LIME</t>
  </si>
  <si>
    <t>S34010061</t>
  </si>
  <si>
    <t>DORICAST RC 1750 0-1 MM</t>
  </si>
  <si>
    <t>S34010062</t>
  </si>
  <si>
    <t>DORIFLOW MC 1750 0-2 MM</t>
  </si>
  <si>
    <t>S35010004</t>
  </si>
  <si>
    <t>EMPTY GUNNY BAG, CAP. 50 KG</t>
  </si>
  <si>
    <t>S35010013</t>
  </si>
  <si>
    <t>PP SUTLI ROPE THICK UP TO 2 MM</t>
  </si>
  <si>
    <t>Production - CCM</t>
  </si>
  <si>
    <t>S03010297</t>
  </si>
  <si>
    <t>MULTIPLE TAPPER COPPER MOULD TUBE SECTION 160 SQ MM, LENGTH 900MM ,RADIOUS 6000MM, WALL THICKNESS 12</t>
  </si>
  <si>
    <t>S03010301</t>
  </si>
  <si>
    <t>MULTIPLE TAPPER COPPER MOULD TUBE SECTION 130 SQ MM, LENGTH 900MM, RADIOUS 6000MM, WALL THICKNESS 12</t>
  </si>
  <si>
    <t>S06010026</t>
  </si>
  <si>
    <t>TUNDISH NOZZLE DIA 17 MM</t>
  </si>
  <si>
    <t>S06010028</t>
  </si>
  <si>
    <t>TUNDISH NOZZLE DIA 17.5 MM</t>
  </si>
  <si>
    <t>S06010033</t>
  </si>
  <si>
    <t>CASTING POWDER JG-MF-16 (P)</t>
  </si>
  <si>
    <t>S11020473</t>
  </si>
  <si>
    <t>LANCING PIPE, SIZE: OD 13 MM, ID 10MM</t>
  </si>
  <si>
    <t>S11020474</t>
  </si>
  <si>
    <t>LANCING PIPE, SIZE: OD 6 MM, ID 4 MM</t>
  </si>
  <si>
    <t>S11080006</t>
  </si>
  <si>
    <t>LIFTING CHAIN GRADE 80, THICKNESS 20 MM  </t>
  </si>
  <si>
    <t>S13060512</t>
  </si>
  <si>
    <t>ALUMINIUM WIRE 4 MM (ROLL)</t>
  </si>
  <si>
    <t>S14010017</t>
  </si>
  <si>
    <t>Face shield</t>
  </si>
  <si>
    <t>S14010064</t>
  </si>
  <si>
    <t>LEATHER LEG GUARD</t>
  </si>
  <si>
    <t>S14010303</t>
  </si>
  <si>
    <t>LEATHER APRON FOR WELDING/CUTTING (MAKE:ESAB)</t>
  </si>
  <si>
    <t>S15010206</t>
  </si>
  <si>
    <t>CAST IRON PLUG (DRG.NO. CI-8352.4)</t>
  </si>
  <si>
    <t>S15010260</t>
  </si>
  <si>
    <t>COLLECTOR NOZZLE HOLDER (2QC)</t>
  </si>
  <si>
    <t>S15010320</t>
  </si>
  <si>
    <t>SLIDER FOR 2QC LADDLE</t>
  </si>
  <si>
    <t>S15010326</t>
  </si>
  <si>
    <t>EYE BOLT FOR 2QC  MACHINE</t>
  </si>
  <si>
    <t>S15010665</t>
  </si>
  <si>
    <t>CAST IRON PLUG CONICAL SHAPE BOTTOM DIA -50 MM, LENGTH -70 MM</t>
  </si>
  <si>
    <t>S18070006</t>
  </si>
  <si>
    <t>FAWDA /HOE</t>
  </si>
  <si>
    <t>S21010006</t>
  </si>
  <si>
    <t>TMT Bars 8 mm</t>
  </si>
  <si>
    <t>S22020023</t>
  </si>
  <si>
    <t>CHEMICAL 3110</t>
  </si>
  <si>
    <t>S22020024</t>
  </si>
  <si>
    <t>CHEMICAL 1275I</t>
  </si>
  <si>
    <t>S24020001</t>
  </si>
  <si>
    <t>LIQUID OXYGEN</t>
  </si>
  <si>
    <t>CMT</t>
  </si>
  <si>
    <t>S28020081</t>
  </si>
  <si>
    <t>TAGARI, GI, 18'</t>
  </si>
  <si>
    <t>S32030042</t>
  </si>
  <si>
    <t>ARGON CYLINDER - A GRADE, PURITY &gt;99.9995%</t>
  </si>
  <si>
    <t>S34010012</t>
  </si>
  <si>
    <t>MORTAR SMA-70K</t>
  </si>
  <si>
    <t>S34010013</t>
  </si>
  <si>
    <t>TUNDISH BOARD (FULL SET)</t>
  </si>
  <si>
    <t>S34010018</t>
  </si>
  <si>
    <t>POROUS PLUG 2QC</t>
  </si>
  <si>
    <t>S34010022</t>
  </si>
  <si>
    <t>TUNDISH NOZZLE WELL BLOCK</t>
  </si>
  <si>
    <t>S34010024</t>
  </si>
  <si>
    <t>NOZZLE FILING COMPOUND</t>
  </si>
  <si>
    <t>S34010025</t>
  </si>
  <si>
    <t>GARSEAL</t>
  </si>
  <si>
    <t>S34010026</t>
  </si>
  <si>
    <t>LADDLE NOZZLE WELL BLOCK 2QC</t>
  </si>
  <si>
    <t>S34010027</t>
  </si>
  <si>
    <t>POROUS PLUG WELL BLOCK 2QC</t>
  </si>
  <si>
    <t>S34010031</t>
  </si>
  <si>
    <t>ALUMINA BRICKS 70%, SIZE: 230MMx115MMx40MM</t>
  </si>
  <si>
    <t>S34010034</t>
  </si>
  <si>
    <t>HIGH ALUMINA MORTAR 90K</t>
  </si>
  <si>
    <t>S34010035</t>
  </si>
  <si>
    <t>RADEX, SLAG INSULATION POWDER FOR TUNDISH</t>
  </si>
  <si>
    <t>S34010040</t>
  </si>
  <si>
    <t>SLIDE GATE PLATE 2QC- 28 MM</t>
  </si>
  <si>
    <t>S34010041</t>
  </si>
  <si>
    <t>LADDLE NOZZLE 2QC-28 MM</t>
  </si>
  <si>
    <t>S34010042</t>
  </si>
  <si>
    <t>LADDLE COLLECTOR NOZZLE 2QC-28 MM</t>
  </si>
  <si>
    <t>S34010043</t>
  </si>
  <si>
    <t>CALCIUM SILICIDE</t>
  </si>
  <si>
    <t>QAD-SMS</t>
  </si>
  <si>
    <t>S12030309</t>
  </si>
  <si>
    <t>METAL CUT-OFF SAW MACHINE</t>
  </si>
  <si>
    <t>S15010434</t>
  </si>
  <si>
    <t>SPECTRO POLISHER MACHINE PAPER, Size &gt;14', 350 mm dia</t>
  </si>
  <si>
    <t>S15020263</t>
  </si>
  <si>
    <t>MEASURING TAPE SIZE 10 MTR</t>
  </si>
  <si>
    <t>S18050099</t>
  </si>
  <si>
    <t>SLIDE RAIL KC-251-20 (2 NOS)</t>
  </si>
  <si>
    <t>S22010038</t>
  </si>
  <si>
    <t>FILTER PAPER 41</t>
  </si>
  <si>
    <t>S22010040</t>
  </si>
  <si>
    <t>FILTER PAPER ASHLESS CLIPPINGS</t>
  </si>
  <si>
    <t>S22010067</t>
  </si>
  <si>
    <t>MERCURIC CHLORIDE</t>
  </si>
  <si>
    <t>S22010074</t>
  </si>
  <si>
    <t>NITRIC ACID</t>
  </si>
  <si>
    <t>S22010104</t>
  </si>
  <si>
    <t>SILICON CARBIDE ROD</t>
  </si>
  <si>
    <t>S22010168</t>
  </si>
  <si>
    <t>SULPHURIC ACID</t>
  </si>
  <si>
    <t>S22010171</t>
  </si>
  <si>
    <t>TIN METAL</t>
  </si>
  <si>
    <t>S22010271</t>
  </si>
  <si>
    <t>Combustion Boat</t>
  </si>
  <si>
    <t>S22010386</t>
  </si>
  <si>
    <t>BRUSH 0.6 X 6 X 43 SW (ELECTRODE CLEANING)</t>
  </si>
  <si>
    <t>S26010149</t>
  </si>
  <si>
    <t>METAL SCALE 12' LENGTH</t>
  </si>
  <si>
    <t>S32030045</t>
  </si>
  <si>
    <t>UHP GRADE ARGON CYLINDER PURITY &gt;99.9995%</t>
  </si>
  <si>
    <t>UTILITY - SM</t>
  </si>
  <si>
    <t>S08070320</t>
  </si>
  <si>
    <t>MS HEX BOLT M16 X 65</t>
  </si>
  <si>
    <t>S11010347</t>
  </si>
  <si>
    <t>GI Nipples 1'' x 4''</t>
  </si>
  <si>
    <t>S11010443</t>
  </si>
  <si>
    <t>MS Flanges 6''</t>
  </si>
  <si>
    <t>S11010467</t>
  </si>
  <si>
    <t>MS Short bends 6''</t>
  </si>
  <si>
    <t>S11010823</t>
  </si>
  <si>
    <t>Butter Fly Valve 6''</t>
  </si>
  <si>
    <t>S11020094</t>
  </si>
  <si>
    <t>PIPE,MS,ERW,C-CLASS,NB-6'</t>
  </si>
  <si>
    <t>S11020429</t>
  </si>
  <si>
    <t>MS REDUCER,CONCENTRIC, CONNECTOR  8' X 6'</t>
  </si>
  <si>
    <t>S11021246</t>
  </si>
  <si>
    <t>CI VICTAULIC COUPLING RUBBER  1 1/2' / 40 MM</t>
  </si>
  <si>
    <t>S11021267</t>
  </si>
  <si>
    <t>PU T-CONNECTOR - 6MM</t>
  </si>
  <si>
    <t>S11030863</t>
  </si>
  <si>
    <t>DOSING PUMP MODEL M-13PP</t>
  </si>
  <si>
    <t>S11170069</t>
  </si>
  <si>
    <t>RO MEMBRANE HM 8040 BWE 400</t>
  </si>
  <si>
    <t>S11190744</t>
  </si>
  <si>
    <t>MICRON CARTRIDGE FILTER FOR 50 KLD RO</t>
  </si>
  <si>
    <t>S17010330</t>
  </si>
  <si>
    <t>RACK  DRIVE GEAR BOX PN : S3 FOR 50 KL WTP HRSCC</t>
  </si>
  <si>
    <t>S22010022</t>
  </si>
  <si>
    <t>Chlorotex Reagent</t>
  </si>
  <si>
    <t>S22010202</t>
  </si>
  <si>
    <t>FeCl3 commercial</t>
  </si>
  <si>
    <t>S22010211</t>
  </si>
  <si>
    <t>Sodium hypo chlorite commercial</t>
  </si>
  <si>
    <t>S22010238</t>
  </si>
  <si>
    <t>HCL COMMERCIAL</t>
  </si>
  <si>
    <t>S22010282</t>
  </si>
  <si>
    <t>SODIUM META BISULPHITE (Commercial)</t>
  </si>
  <si>
    <t>S22020018</t>
  </si>
  <si>
    <t>INDION-8111</t>
  </si>
  <si>
    <t>S22030365</t>
  </si>
  <si>
    <t>SIPHON PUMP FOR CHEMICALS</t>
  </si>
  <si>
    <t>S25010124</t>
  </si>
  <si>
    <t>Bearings 6309ZZ C3</t>
  </si>
  <si>
    <t>S30010147</t>
  </si>
  <si>
    <t>SS MESH 100 MICRON, FOR BASKET STRAINER FILTER</t>
  </si>
  <si>
    <t>S30020182</t>
  </si>
  <si>
    <t>PU CONNECTOR EQUAL ELBOW ID-6 MM</t>
  </si>
  <si>
    <t>S30020236</t>
  </si>
  <si>
    <t>PNEUMATIC PU CONNECTOR - PUSH IN MALE 6 TO 8MM THREAD TYPE</t>
  </si>
  <si>
    <t>Grand Total</t>
  </si>
  <si>
    <t>Sum of Consumption Value</t>
  </si>
  <si>
    <t>AOP Target Q2</t>
  </si>
  <si>
    <t>Sum of Consumption Value Actual Q2</t>
  </si>
  <si>
    <t>Difference</t>
  </si>
  <si>
    <t xml:space="preserve">Diesel </t>
  </si>
  <si>
    <t>Sum of Party Bill Amount</t>
  </si>
  <si>
    <t>Total Bill Passing Amount</t>
  </si>
  <si>
    <t>J01010042</t>
  </si>
  <si>
    <t>Service Engineer for Tipper</t>
  </si>
  <si>
    <t>J01010063</t>
  </si>
  <si>
    <t>Cabin Glass Service With Material</t>
  </si>
  <si>
    <t>J01010069</t>
  </si>
  <si>
    <t>Radiator Overhauling Service</t>
  </si>
  <si>
    <t>J15040102</t>
  </si>
  <si>
    <t>KATTA ASSEMBLY FOR TIPPER REPARING</t>
  </si>
  <si>
    <t>J15040134</t>
  </si>
  <si>
    <t>BOOM CYLINDER ASSY (L) REPAIR AND SERVICE FOR SANY 245 EXCAVATOR</t>
  </si>
  <si>
    <t>J15040139</t>
  </si>
  <si>
    <t>SERVICE ENGINEER FOR SANY 245 EXCAVATOR-AMC</t>
  </si>
  <si>
    <t>J15040155</t>
  </si>
  <si>
    <t>LINE BORING BOOM REPAIR &amp; SERVICE FOR STATIONERY CRANE GRAB.</t>
  </si>
  <si>
    <t>J16010205</t>
  </si>
  <si>
    <t>FURNACE SERVICE ENGINEER DEPUTATION AT SITE</t>
  </si>
  <si>
    <t>J02010271</t>
  </si>
  <si>
    <t>HOT BILLET SHEARING MACHINE CYLINDER REPAIR WOK BORE SIZE 250MM PISTON 200MM STROKE 175MM WITH DRU</t>
  </si>
  <si>
    <t>J03040139</t>
  </si>
  <si>
    <t>RCC : M-30 GRADE RCC (COLUMN/PEDESTAL) UP TO 3 MTRS (EXCLUDING REINFORCEMENT &amp; SHUTTERING WORK)</t>
  </si>
  <si>
    <t>J01010153</t>
  </si>
  <si>
    <t>SERVICE FOR EOT CRANE</t>
  </si>
  <si>
    <t>J10010285</t>
  </si>
  <si>
    <t>DUCT FABRICATION &amp; ERECTION</t>
  </si>
  <si>
    <t>J10020329</t>
  </si>
  <si>
    <t>INSTALLATION OF BOLTS WITH RE 500 V4</t>
  </si>
  <si>
    <t>J14010211</t>
  </si>
  <si>
    <t>SERVICE OF EXHAUST DUCT FOR SCREW COMPRESSOR DUCTING</t>
  </si>
  <si>
    <t>J14010259</t>
  </si>
  <si>
    <t>FURNACE HYDRAULIC CYLINDER REPAIR WORK</t>
  </si>
  <si>
    <t>J15020261</t>
  </si>
  <si>
    <t>JAW CRUSHER 10 TPH COMPLETE REPAIRING WORK</t>
  </si>
  <si>
    <t>J08020281</t>
  </si>
  <si>
    <t>HIRING OF EXCAVATOR (0.7 CUBIC METER BUCKET CAPACITY)</t>
  </si>
  <si>
    <t>Q2 SRN Budget</t>
  </si>
  <si>
    <t>SD SRN Budget</t>
  </si>
  <si>
    <t>Total SRN Budget Q2</t>
  </si>
  <si>
    <t>Diff</t>
  </si>
  <si>
    <t xml:space="preserve">Prod </t>
  </si>
  <si>
    <t xml:space="preserve">Nos of heat </t>
  </si>
  <si>
    <t xml:space="preserve">AOP Rate </t>
  </si>
  <si>
    <t xml:space="preserve">Remarks </t>
  </si>
  <si>
    <t xml:space="preserve">Use for making safety plate of induction not in AOP previously use from DRI castable . </t>
  </si>
  <si>
    <t xml:space="preserve">Excess qty use </t>
  </si>
  <si>
    <t xml:space="preserve">Due to Rate increase &amp; Coil Coating </t>
  </si>
  <si>
    <t xml:space="preserve">Rate increase &amp; excess use </t>
  </si>
  <si>
    <t xml:space="preserve">Sum </t>
  </si>
  <si>
    <t>Excess use due to cradle bottom casting</t>
  </si>
  <si>
    <t xml:space="preserve">Rate Increase &amp; Special Heats </t>
  </si>
  <si>
    <t xml:space="preserve">Rate increase </t>
  </si>
  <si>
    <t xml:space="preserve">Not taken in AOP but use in viswakarma pooja </t>
  </si>
  <si>
    <t xml:space="preserve">Not taken in AOP but use for making bari </t>
  </si>
  <si>
    <t xml:space="preserve">Excess Amount due to rate increase </t>
  </si>
  <si>
    <t>Rate increase</t>
  </si>
  <si>
    <t xml:space="preserve">Actual </t>
  </si>
  <si>
    <t>AOP</t>
  </si>
  <si>
    <t xml:space="preserve">Parameter </t>
  </si>
  <si>
    <t xml:space="preserve">Excess use </t>
  </si>
  <si>
    <t xml:space="preserve"> Excess use To control  SiMn consumtion </t>
  </si>
  <si>
    <t xml:space="preserve">Excess use because of bothe furnace plateform repaired </t>
  </si>
  <si>
    <t xml:space="preserve">Consumption Qty  as per AOP </t>
  </si>
  <si>
    <t>Actual Consumption Qty</t>
  </si>
  <si>
    <t>Excess amount due to excess Qty use .</t>
  </si>
  <si>
    <t>Total excess amonut</t>
  </si>
  <si>
    <t>Excess amount due to we have taken in AOP for 90 days  but due to Company Hitachi not Avaliable we use it for 6 motnh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</si>
</sst>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pivotButton="1"/>
    <xf numFmtId="164" fontId="0" fillId="0" borderId="10" xfId="1" applyNumberFormat="1" applyFont="1" applyBorder="1"/>
    <xf numFmtId="164" fontId="16" fillId="0" borderId="10" xfId="1" applyNumberFormat="1" applyFont="1" applyBorder="1"/>
    <xf numFmtId="164" fontId="16" fillId="0" borderId="10" xfId="1" applyNumberFormat="1" applyFont="1" applyFill="1" applyBorder="1"/>
    <xf numFmtId="164" fontId="0" fillId="0" borderId="10" xfId="0" applyNumberFormat="1" applyBorder="1"/>
    <xf numFmtId="164" fontId="0" fillId="33" borderId="10" xfId="1" applyNumberFormat="1" applyFont="1" applyFill="1" applyBorder="1"/>
    <xf numFmtId="164" fontId="0" fillId="33" borderId="10" xfId="0" applyNumberFormat="1" applyFill="1" applyBorder="1"/>
    <xf numFmtId="164" fontId="0" fillId="0" borderId="0" xfId="1" applyNumberFormat="1" applyFont="1"/>
    <xf numFmtId="164" fontId="0" fillId="0" borderId="10" xfId="1" applyNumberFormat="1" applyFont="1" applyFill="1" applyBorder="1"/>
    <xf numFmtId="164" fontId="0" fillId="0" borderId="0" xfId="0" applyNumberFormat="1"/>
    <xf numFmtId="0" fontId="16" fillId="0" borderId="10" xfId="0" applyFont="1" applyBorder="1"/>
    <xf numFmtId="0" fontId="0" fillId="0" borderId="10" xfId="0" applyBorder="1"/>
    <xf numFmtId="164" fontId="0" fillId="0" borderId="10" xfId="1" applyNumberFormat="1" applyFont="1" applyBorder="1" applyAlignment="1">
      <alignment horizontal="center"/>
    </xf>
    <xf numFmtId="0" fontId="16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164" fontId="16" fillId="0" borderId="1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10" xfId="1" applyNumberFormat="1" applyFont="1" applyBorder="1" applyAlignment="1"/>
    <xf numFmtId="164" fontId="16" fillId="0" borderId="0" xfId="1" applyNumberFormat="1" applyFont="1" applyBorder="1" applyAlignment="1">
      <alignment vertical="center"/>
    </xf>
    <xf numFmtId="164" fontId="16" fillId="0" borderId="10" xfId="1" applyNumberFormat="1" applyFont="1" applyBorder="1" applyAlignment="1">
      <alignment horizontal="center" vertical="center"/>
    </xf>
    <xf numFmtId="0" fontId="0" fillId="0" borderId="10" xfId="0" applyFill="1" applyBorder="1"/>
    <xf numFmtId="164" fontId="0" fillId="0" borderId="10" xfId="0" applyNumberFormat="1" applyFill="1" applyBorder="1"/>
    <xf numFmtId="164" fontId="16" fillId="33" borderId="10" xfId="1" applyNumberFormat="1" applyFont="1" applyFill="1" applyBorder="1" applyAlignment="1">
      <alignment vertical="center"/>
    </xf>
    <xf numFmtId="0" fontId="0" fillId="0" borderId="18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/>
    </xf>
    <xf numFmtId="0" fontId="16" fillId="0" borderId="23" xfId="0" applyFont="1" applyFill="1" applyBorder="1" applyAlignment="1">
      <alignment horizontal="left"/>
    </xf>
    <xf numFmtId="0" fontId="16" fillId="0" borderId="24" xfId="0" applyFont="1" applyFill="1" applyBorder="1" applyAlignment="1">
      <alignment horizontal="left"/>
    </xf>
    <xf numFmtId="0" fontId="16" fillId="0" borderId="17" xfId="0" applyFont="1" applyFill="1" applyBorder="1" applyAlignment="1">
      <alignment horizontal="left"/>
    </xf>
    <xf numFmtId="0" fontId="16" fillId="0" borderId="10" xfId="0" applyFont="1" applyFill="1" applyBorder="1" applyAlignment="1">
      <alignment horizontal="left"/>
    </xf>
    <xf numFmtId="165" fontId="16" fillId="0" borderId="10" xfId="0" applyNumberFormat="1" applyFont="1" applyFill="1" applyBorder="1" applyAlignment="1">
      <alignment horizontal="left"/>
    </xf>
    <xf numFmtId="165" fontId="16" fillId="0" borderId="18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16" fillId="34" borderId="14" xfId="0" applyFont="1" applyFill="1" applyBorder="1" applyAlignment="1">
      <alignment horizontal="left" vertical="center"/>
    </xf>
    <xf numFmtId="0" fontId="16" fillId="34" borderId="15" xfId="0" applyFont="1" applyFill="1" applyBorder="1" applyAlignment="1">
      <alignment horizontal="left" vertical="center"/>
    </xf>
    <xf numFmtId="0" fontId="16" fillId="34" borderId="13" xfId="0" applyFont="1" applyFill="1" applyBorder="1" applyAlignment="1">
      <alignment horizontal="left" vertical="center"/>
    </xf>
    <xf numFmtId="0" fontId="16" fillId="34" borderId="15" xfId="0" applyFont="1" applyFill="1" applyBorder="1" applyAlignment="1">
      <alignment horizontal="left" vertical="center" wrapText="1"/>
    </xf>
    <xf numFmtId="0" fontId="16" fillId="34" borderId="16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18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1" fontId="18" fillId="0" borderId="10" xfId="0" applyNumberFormat="1" applyFont="1" applyFill="1" applyBorder="1" applyAlignment="1">
      <alignment horizontal="left" vertical="center"/>
    </xf>
    <xf numFmtId="1" fontId="0" fillId="0" borderId="10" xfId="0" applyNumberFormat="1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1" xfId="0" applyFont="1" applyFill="1" applyBorder="1" applyAlignment="1">
      <alignment horizontal="left"/>
    </xf>
    <xf numFmtId="0" fontId="0" fillId="35" borderId="10" xfId="0" applyFont="1" applyFill="1" applyBorder="1" applyAlignment="1">
      <alignment horizontal="left" vertical="center"/>
    </xf>
    <xf numFmtId="0" fontId="0" fillId="35" borderId="10" xfId="0" applyFont="1" applyFill="1" applyBorder="1" applyAlignment="1">
      <alignment horizontal="left"/>
    </xf>
    <xf numFmtId="0" fontId="16" fillId="34" borderId="13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/>
    </xf>
    <xf numFmtId="0" fontId="16" fillId="0" borderId="11" xfId="0" applyFont="1" applyFill="1" applyBorder="1" applyAlignment="1">
      <alignment horizontal="left"/>
    </xf>
    <xf numFmtId="0" fontId="16" fillId="0" borderId="26" xfId="0" applyFont="1" applyFill="1" applyBorder="1" applyAlignment="1">
      <alignment horizontal="left"/>
    </xf>
    <xf numFmtId="1" fontId="0" fillId="0" borderId="10" xfId="0" applyNumberFormat="1" applyFont="1" applyFill="1" applyBorder="1" applyAlignment="1">
      <alignment horizontal="left"/>
    </xf>
    <xf numFmtId="1" fontId="18" fillId="0" borderId="10" xfId="43" applyNumberFormat="1" applyFont="1" applyFill="1" applyBorder="1" applyAlignment="1">
      <alignment horizontal="left" vertical="center"/>
    </xf>
    <xf numFmtId="1" fontId="1" fillId="0" borderId="10" xfId="1" applyNumberFormat="1" applyFont="1" applyFill="1" applyBorder="1" applyAlignment="1">
      <alignment horizontal="left"/>
    </xf>
    <xf numFmtId="1" fontId="18" fillId="0" borderId="10" xfId="43" applyNumberFormat="1" applyFont="1" applyFill="1" applyBorder="1" applyAlignment="1">
      <alignment horizontal="left"/>
    </xf>
    <xf numFmtId="1" fontId="0" fillId="0" borderId="20" xfId="0" applyNumberFormat="1" applyFont="1" applyFill="1" applyBorder="1" applyAlignment="1">
      <alignment horizontal="left"/>
    </xf>
    <xf numFmtId="1" fontId="0" fillId="0" borderId="20" xfId="0" applyNumberFormat="1" applyFont="1" applyFill="1" applyBorder="1" applyAlignment="1">
      <alignment horizontal="left" vertical="center"/>
    </xf>
    <xf numFmtId="1" fontId="0" fillId="0" borderId="0" xfId="0" applyNumberFormat="1" applyFill="1" applyAlignment="1">
      <alignment horizontal="left"/>
    </xf>
    <xf numFmtId="1" fontId="16" fillId="33" borderId="27" xfId="0" applyNumberFormat="1" applyFont="1" applyFill="1" applyBorder="1" applyAlignment="1">
      <alignment horizontal="left"/>
    </xf>
    <xf numFmtId="1" fontId="16" fillId="33" borderId="28" xfId="0" applyNumberFormat="1" applyFont="1" applyFill="1" applyBorder="1" applyAlignment="1">
      <alignment horizontal="left"/>
    </xf>
    <xf numFmtId="0" fontId="0" fillId="33" borderId="28" xfId="0" applyFill="1" applyBorder="1" applyAlignment="1">
      <alignment horizontal="left"/>
    </xf>
    <xf numFmtId="1" fontId="16" fillId="33" borderId="29" xfId="0" applyNumberFormat="1" applyFont="1" applyFill="1" applyBorder="1" applyAlignment="1">
      <alignment horizontal="left"/>
    </xf>
    <xf numFmtId="164" fontId="16" fillId="0" borderId="10" xfId="1" applyNumberFormat="1" applyFont="1" applyBorder="1" applyAlignment="1">
      <alignment horizontal="center" vertical="center" wrapText="1"/>
    </xf>
    <xf numFmtId="164" fontId="16" fillId="0" borderId="10" xfId="1" applyNumberFormat="1" applyFont="1" applyBorder="1" applyAlignment="1">
      <alignment horizontal="center" vertical="center"/>
    </xf>
    <xf numFmtId="164" fontId="16" fillId="0" borderId="11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164" fontId="16" fillId="0" borderId="13" xfId="1" applyNumberFormat="1" applyFont="1" applyBorder="1" applyAlignment="1">
      <alignment horizontal="center" vertical="center"/>
    </xf>
    <xf numFmtId="164" fontId="16" fillId="33" borderId="10" xfId="1" applyNumberFormat="1" applyFont="1" applyFill="1" applyBorder="1" applyAlignment="1">
      <alignment horizontal="center" vertical="center" wrapText="1"/>
    </xf>
    <xf numFmtId="164" fontId="16" fillId="33" borderId="10" xfId="1" applyNumberFormat="1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0" fillId="0" borderId="0" xfId="0" applyAlignment="1">
      <alignment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 2 2" xfId="43" xr:uid="{FE635E52-D7A6-41BE-A2F5-D8C5719DF0AC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OP%20FY%2026-27\SMS%20AOP%20FY%2026-27%20Date%2014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 Production Assumption"/>
      <sheetName val="02. AOP Summary 26-27"/>
      <sheetName val="03. Final Summary"/>
      <sheetName val="4.1,4.4 New Initiatives"/>
      <sheetName val="Over All Summary"/>
      <sheetName val="Capex"/>
      <sheetName val="Central Store Minimax"/>
      <sheetName val="SMS Plant Availability"/>
      <sheetName val="Deviation AOP Summary Remark"/>
      <sheetName val="Department Summary"/>
      <sheetName val="Cost Per Ton"/>
      <sheetName val="Production-IF"/>
      <sheetName val="Production-CCM"/>
      <sheetName val="Mechanical-CCM"/>
      <sheetName val="Mechanical-IF"/>
      <sheetName val="E &amp; I"/>
      <sheetName val="QAD-SMS"/>
      <sheetName val="Automobile SMS "/>
      <sheetName val="SLAG"/>
      <sheetName val="COSMA"/>
      <sheetName val="Utility"/>
      <sheetName val="Diesel"/>
      <sheetName val="Consolidated Sheet"/>
      <sheetName val="Capital Shutdown SRN "/>
      <sheetName val="Capital Shutdown Material"/>
      <sheetName val="SMS OT Details"/>
      <sheetName val="Indent Details"/>
      <sheetName val="Excess Consumption"/>
      <sheetName val="Excess Value Due to rate high"/>
      <sheetName val="Excess 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I6">
            <v>2212000</v>
          </cell>
        </row>
      </sheetData>
      <sheetData sheetId="12"/>
      <sheetData sheetId="13">
        <row r="8">
          <cell r="I8">
            <v>342750</v>
          </cell>
        </row>
      </sheetData>
      <sheetData sheetId="14">
        <row r="8">
          <cell r="K8">
            <v>633000</v>
          </cell>
        </row>
        <row r="1390">
          <cell r="H1390">
            <v>30000</v>
          </cell>
        </row>
        <row r="1399">
          <cell r="H1399">
            <v>113800</v>
          </cell>
        </row>
        <row r="1403">
          <cell r="H1403">
            <v>100000</v>
          </cell>
        </row>
      </sheetData>
      <sheetData sheetId="15">
        <row r="6">
          <cell r="I6">
            <v>2706881</v>
          </cell>
        </row>
      </sheetData>
      <sheetData sheetId="16"/>
      <sheetData sheetId="17">
        <row r="5">
          <cell r="L5">
            <v>1848535.7180000006</v>
          </cell>
        </row>
      </sheetData>
      <sheetData sheetId="18"/>
      <sheetData sheetId="19">
        <row r="6">
          <cell r="J6">
            <v>113450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HARMA SMS MECH" refreshedDate="46303.416120833332" createdVersion="8" refreshedVersion="8" minRefreshableVersion="3" recordCount="1061" xr:uid="{BBF0B404-169A-4FAF-82F1-1C5D4F3FBE47}">
  <cacheSource type="worksheet">
    <worksheetSource ref="A6:H1051" sheet="SMS Q2 CONSUMPTION REPORT"/>
  </cacheSource>
  <cacheFields count="8">
    <cacheField name="Division Code" numFmtId="0">
      <sharedItems count="1">
        <s v="SM"/>
      </sharedItems>
    </cacheField>
    <cacheField name="Department Name" numFmtId="0">
      <sharedItems count="9">
        <s v="AUTOMOBILE -SMS"/>
        <s v="EHS"/>
        <s v="ELECTRICAL AND INSTRUMENTATION - SMS"/>
        <s v="MECHANICAL - CCM"/>
        <s v="MECHANICAL - IF"/>
        <s v="PRODUCTION - IF"/>
        <s v="Production - CCM"/>
        <s v="QAD-SMS"/>
        <s v="UTILITY - SM"/>
      </sharedItems>
    </cacheField>
    <cacheField name="Item Code" numFmtId="0">
      <sharedItems/>
    </cacheField>
    <cacheField name="Item Name" numFmtId="0">
      <sharedItems/>
    </cacheField>
    <cacheField name="UM" numFmtId="0">
      <sharedItems/>
    </cacheField>
    <cacheField name="Consumption Qty" numFmtId="0">
      <sharedItems containsSemiMixedTypes="0" containsString="0" containsNumber="1" minValue="0" maxValue="543000"/>
    </cacheField>
    <cacheField name="Consumption Rate" numFmtId="0">
      <sharedItems containsString="0" containsBlank="1" containsNumber="1" minValue="0" maxValue="1415410"/>
    </cacheField>
    <cacheField name="Consumption Value" numFmtId="0">
      <sharedItems containsSemiMixedTypes="0" containsString="0" containsNumber="1" minValue="0" maxValue="515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x v="0"/>
    <x v="0"/>
    <s v="S08080338"/>
    <s v="GRUB SCREW 6 X 10 MM"/>
    <s v="NOS"/>
    <n v="4"/>
    <n v="1.248"/>
    <n v="4.9924400000000002"/>
  </r>
  <r>
    <x v="0"/>
    <x v="0"/>
    <s v="S11010247"/>
    <s v="CABIN CONTROL VALVE ASSEMBLY-IPH F4D01714"/>
    <s v="NOS"/>
    <n v="4"/>
    <n v="4423.0709999999999"/>
    <n v="17692.28296"/>
  </r>
  <r>
    <x v="0"/>
    <x v="0"/>
    <s v="S11010249"/>
    <s v="HORN 24V,DC"/>
    <s v="NOS"/>
    <n v="2"/>
    <n v="977.34299999999996"/>
    <n v="1954.6866600000001"/>
  </r>
  <r>
    <x v="0"/>
    <x v="0"/>
    <s v="S11010993"/>
    <s v="Tube 6.00 X 16"/>
    <s v="NOS"/>
    <n v="1"/>
    <n v="380"/>
    <n v="380"/>
  </r>
  <r>
    <x v="0"/>
    <x v="0"/>
    <s v="S11011123"/>
    <s v="Pad Lock 65 mm"/>
    <s v="NOS"/>
    <n v="1"/>
    <n v="99.519000000000005"/>
    <n v="99.518709999999999"/>
  </r>
  <r>
    <x v="0"/>
    <x v="0"/>
    <s v="S11011511"/>
    <s v="CLUTCH COVER ASSY 380D 3F, PN: B1M05301, FOR TIPPER 2518 MODEL"/>
    <s v="NOS"/>
    <n v="1"/>
    <n v="11295.531000000001"/>
    <n v="11295.531129999999"/>
  </r>
  <r>
    <x v="0"/>
    <x v="0"/>
    <s v="S11011516"/>
    <s v="57CC PTO AND PUMP ASSY - ALGB940, PN: B9H00801, FOR TIPPER 2518 MODEL"/>
    <s v="NOS"/>
    <n v="1"/>
    <n v="28431.620999999999"/>
    <n v="28431.620940000001"/>
  </r>
  <r>
    <x v="0"/>
    <x v="0"/>
    <s v="S11011625"/>
    <s v="ADBLUE LUBRICANT, 20 LTR, GULF, FOR NEW TIPPERS"/>
    <s v="NOS"/>
    <n v="1"/>
    <n v="1569.3330000000001"/>
    <n v="1569.3333399999999"/>
  </r>
  <r>
    <x v="0"/>
    <x v="0"/>
    <s v="S11011641"/>
    <s v="HEAVY DUTY CAR WASHING 3 PISTON PUMP WITHOUT MOTOR, FOR ALL VEHICLE"/>
    <s v="NOS"/>
    <n v="1"/>
    <n v="8893.85"/>
    <n v="8893.85"/>
  </r>
  <r>
    <x v="0"/>
    <x v="0"/>
    <s v="S11011722"/>
    <s v="FUEL FILTER - FUEL WATER SEPARATOR, PN : FHJ01400, FOR TIPPER"/>
    <s v="NOS"/>
    <n v="1"/>
    <n v="3526.107"/>
    <n v="3526.1068300000002"/>
  </r>
  <r>
    <x v="0"/>
    <x v="0"/>
    <s v="S11011747"/>
    <s v="ELEMENT INNER, PN : D10400240, FOR NEW HYDRA - 14 TON"/>
    <s v="NOS"/>
    <n v="2"/>
    <n v="333.56700000000001"/>
    <n v="667.13333999999998"/>
  </r>
  <r>
    <x v="0"/>
    <x v="0"/>
    <s v="S11011748"/>
    <s v="ELEMENT OUTER, PN : D10400230, FOR NEW HYDRA - 14 TON"/>
    <s v="NOS"/>
    <n v="2"/>
    <n v="712.72"/>
    <n v="1425.44"/>
  </r>
  <r>
    <x v="0"/>
    <x v="0"/>
    <s v="S11011751"/>
    <s v="HYDRAULIC OIL FILTER, PN : TIF-08.25, FOR NEW HYDRA - 14 TON"/>
    <s v="NOS"/>
    <n v="1"/>
    <n v="540.88"/>
    <n v="540.88014999999996"/>
  </r>
  <r>
    <x v="0"/>
    <x v="0"/>
    <s v="S11011880"/>
    <s v="HOSE, PN : WL10675C6087, FOR L &amp; T LOADER"/>
    <s v="NOS"/>
    <n v="1"/>
    <n v="4340.55"/>
    <n v="4340.55"/>
  </r>
  <r>
    <x v="0"/>
    <x v="0"/>
    <s v="S11011909"/>
    <s v="CLUTCH CYLINDER BIG,  FOR TIPPER 2518"/>
    <s v="NOS"/>
    <n v="2"/>
    <n v="3809.59"/>
    <n v="7619.1798799999997"/>
  </r>
  <r>
    <x v="0"/>
    <x v="0"/>
    <s v="S11012026"/>
    <s v="WINCH ROPE - 13DIA/90MT (ANTITWIST), PN:22-C-3-050C, FOR HYDRA 14 TON"/>
    <s v="NOS"/>
    <n v="1"/>
    <n v="21695.004000000001"/>
    <n v="21695.00404"/>
  </r>
  <r>
    <x v="0"/>
    <x v="0"/>
    <s v="S11012072"/>
    <s v="BREATHER, PN: 60186788, FOR SANY 140 EXCAVATOR"/>
    <s v="NOS"/>
    <n v="1"/>
    <n v="832.255"/>
    <n v="832.25546999999995"/>
  </r>
  <r>
    <x v="0"/>
    <x v="0"/>
    <s v="S11012079"/>
    <s v="SHAFT SLEEVE, PN: A820202005381, FOR SANY 140 EXCAVATOR"/>
    <s v="NOS"/>
    <n v="2"/>
    <n v="1889.46"/>
    <n v="3778.92"/>
  </r>
  <r>
    <x v="0"/>
    <x v="0"/>
    <s v="S11012099"/>
    <s v="RUBBER HOSE, PN : 60340172, FOR SANY 245 EXCAVATOR"/>
    <s v="NOS"/>
    <n v="1"/>
    <n v="7463.1019999999999"/>
    <n v="7463.1021199999996"/>
  </r>
  <r>
    <x v="0"/>
    <x v="0"/>
    <s v="S11012130"/>
    <s v="RUBBER HOSE, PN: B230103000899, FOR SANY 140 EXCAVATOR"/>
    <s v="NOS"/>
    <n v="1"/>
    <n v="2012.165"/>
    <n v="2012.16481"/>
  </r>
  <r>
    <x v="0"/>
    <x v="0"/>
    <s v="S11012131"/>
    <s v="HOSE AS, PN: B230103001633, FOR SANY 140 EXCAVATOR"/>
    <s v="NOS"/>
    <n v="2"/>
    <n v="836.69299999999998"/>
    <n v="1673.3869400000001"/>
  </r>
  <r>
    <x v="0"/>
    <x v="0"/>
    <s v="S11012139"/>
    <s v="BELT FRONT DRIVE, PN: 60323086, FOR SANY 140 EXCAVATOR"/>
    <s v="NOS"/>
    <n v="1"/>
    <n v="754"/>
    <n v="754"/>
  </r>
  <r>
    <x v="0"/>
    <x v="0"/>
    <s v="S11012191"/>
    <s v="MOTOR STARTING, PN: 60323087, FOR SANY 140 EXCAVATOR"/>
    <s v="NOS"/>
    <n v="1"/>
    <n v="17900"/>
    <n v="17900"/>
  </r>
  <r>
    <x v="0"/>
    <x v="0"/>
    <s v="S11012199"/>
    <s v="HOSE KIT ASSEMBLY, FOR SANY 245 EXCAVATOR"/>
    <s v="NOS"/>
    <n v="5"/>
    <n v="10190.2696666666"/>
    <n v="51081.078630000004"/>
  </r>
  <r>
    <x v="0"/>
    <x v="0"/>
    <s v="S11012200"/>
    <s v="MAIN PIN, FOR SANY 245 EXCAVATOR"/>
    <s v="NOS"/>
    <n v="15"/>
    <n v="1818.194"/>
    <n v="27272.911049999999"/>
  </r>
  <r>
    <x v="0"/>
    <x v="0"/>
    <s v="S11012201"/>
    <s v="CYLINDER MOUNTING PIN BOTTOM, FOR SANY 245 EXCAVATOR"/>
    <s v="NOS"/>
    <n v="15"/>
    <n v="1414.1510000000001"/>
    <n v="21212.264149999999"/>
  </r>
  <r>
    <x v="0"/>
    <x v="0"/>
    <s v="S11012202"/>
    <s v="CYLINDER MOUNTING PIN TOP, FOR SANY 245 EXCAVATOR"/>
    <s v="NOS"/>
    <n v="15"/>
    <n v="1212.1289999999999"/>
    <n v="18181.940699999999"/>
  </r>
  <r>
    <x v="0"/>
    <x v="0"/>
    <s v="S11012203"/>
    <s v="BUSH  FOR SANY 245 EXCAVATOR"/>
    <s v="NOS"/>
    <n v="40"/>
    <n v="207.202"/>
    <n v="8282.8840999999993"/>
  </r>
  <r>
    <x v="0"/>
    <x v="0"/>
    <s v="S11012300"/>
    <s v="AIR FILTER OUTER, PN: 2868468, FOR SANY 245"/>
    <s v="NOS"/>
    <n v="1"/>
    <n v="2286.6469999999999"/>
    <n v="2286.6469299999999"/>
  </r>
  <r>
    <x v="0"/>
    <x v="0"/>
    <s v="S11012301"/>
    <s v="AIR FILTER INNER, PN: 3814133, FOR SANY 245"/>
    <s v="NOS"/>
    <n v="1"/>
    <n v="568.39800000000002"/>
    <n v="568.39796000000001"/>
  </r>
  <r>
    <x v="0"/>
    <x v="0"/>
    <s v="S11012302"/>
    <s v="HYD RETURN FILTER, PN:66200365, FOR SANY 245"/>
    <s v="NOS"/>
    <n v="1"/>
    <n v="5658.12"/>
    <n v="5658.12"/>
  </r>
  <r>
    <x v="0"/>
    <x v="0"/>
    <s v="S11012303"/>
    <s v="HYD SUCTION FILTER, PN:60200363, FOR SANY 245"/>
    <s v="NOS"/>
    <n v="2"/>
    <n v="3775.6995000000002"/>
    <n v="7551.3994700000003"/>
  </r>
  <r>
    <x v="0"/>
    <x v="0"/>
    <s v="S11012307"/>
    <s v="COOLANT 10 L, PN:A42999900000195P, FOR SANY 245"/>
    <s v="NOS"/>
    <n v="1"/>
    <n v="2223.9"/>
    <n v="2223.8998099999999"/>
  </r>
  <r>
    <x v="0"/>
    <x v="0"/>
    <s v="S11012355"/>
    <s v="FILTER HYD TANK BREATHER, PN: 60174894, FOR SANY 140 EXCAVATOR"/>
    <s v="NOS"/>
    <n v="1"/>
    <n v="785.50599999999997"/>
    <n v="785.50558000000001"/>
  </r>
  <r>
    <x v="0"/>
    <x v="0"/>
    <s v="S11012377"/>
    <s v="FUSE, PN: A241300000016, FOR SANY 140 EXCAVATOR"/>
    <s v="NOS"/>
    <n v="13"/>
    <n v="7.4050000000000002"/>
    <n v="96.271109999999993"/>
  </r>
  <r>
    <x v="0"/>
    <x v="0"/>
    <s v="S11012378"/>
    <s v="FUSE, PN: A241300000017, FOR SANY 140 EXCAVATOR"/>
    <s v="NOS"/>
    <n v="10"/>
    <n v="13.885"/>
    <n v="138.8526"/>
  </r>
  <r>
    <x v="0"/>
    <x v="0"/>
    <s v="S11012379"/>
    <s v="FUSE, PN: A241300000018, FOR SANY 140 EXCAVATOR"/>
    <s v="NOS"/>
    <n v="10"/>
    <n v="13.885"/>
    <n v="138.8526"/>
  </r>
  <r>
    <x v="0"/>
    <x v="0"/>
    <s v="S11012380"/>
    <s v="FUSE, PN: A241300000019, FOR SANY 140 EXCAVATOR"/>
    <s v="NOS"/>
    <n v="10"/>
    <n v="136.07599999999999"/>
    <n v="1360.7554"/>
  </r>
  <r>
    <x v="0"/>
    <x v="0"/>
    <s v="S11012421"/>
    <s v="HOSE ASSEMBLY FOR 0.6CBM, LENGTH- 600MM (90xST), PNO (SKU):AE--HSE-4SP-1/2-IXL600"/>
    <s v="NOS"/>
    <n v="6"/>
    <n v="2657.3530000000001"/>
    <n v="15944.119360000001"/>
  </r>
  <r>
    <x v="0"/>
    <x v="0"/>
    <s v="S11012423"/>
    <s v="HOSE ASSEMBLY FOR 0.6CBM  GRABBER LENGTH- 600MM (90X90)PN:(SKU):AE-HSE-4SP-1/2-LXL600"/>
    <s v="NOS"/>
    <n v="1"/>
    <n v="2828.7950000000001"/>
    <n v="2828.7953699999998"/>
  </r>
  <r>
    <x v="0"/>
    <x v="0"/>
    <s v="S11012452"/>
    <s v="GEAR OIL GO140 (5 LTR), PN: R31241145.1022, FOR PC 71 EXCAVATOR"/>
    <s v="NOS"/>
    <n v="2"/>
    <n v="1574.817"/>
    <n v="3149.6330699999999"/>
  </r>
  <r>
    <x v="0"/>
    <x v="0"/>
    <s v="S11012454"/>
    <s v="SINGLE MASTER CYLINDER,PN ; 8V1949807100, FOR HYDRA 14 TON"/>
    <s v="NOS"/>
    <n v="1"/>
    <n v="2070.328"/>
    <n v="2070.3276900000001"/>
  </r>
  <r>
    <x v="0"/>
    <x v="0"/>
    <s v="S11012455"/>
    <s v="MAJOR KIT REPAIR, PN: 29966901, FOR HYDRA 14  TON"/>
    <s v="NOS"/>
    <n v="1"/>
    <n v="812.92100000000005"/>
    <n v="812.92147999999997"/>
  </r>
  <r>
    <x v="0"/>
    <x v="0"/>
    <s v="S11012598"/>
    <s v="VALVE MAINTAINING: PART NO :60000736, For SANY 245"/>
    <s v="NOS"/>
    <n v="2"/>
    <n v="54243.241999999998"/>
    <n v="108486.48376"/>
  </r>
  <r>
    <x v="0"/>
    <x v="0"/>
    <s v="S11012612"/>
    <s v="HOSE ASSY 1/4 : PART NO :VMT 500 , For SANY 245 EXCAVATOR"/>
    <s v="NOS"/>
    <n v="9"/>
    <n v="1015"/>
    <n v="9135"/>
  </r>
  <r>
    <x v="0"/>
    <x v="0"/>
    <s v="S11012614"/>
    <s v="HOSE ASSY HYDRAULC GRABBER EXA,CAPACITY-0.6 M3,Pn:AE-HA38-T2-430: For SANY 245"/>
    <s v="NOS"/>
    <n v="1"/>
    <n v="1608.6179999999999"/>
    <n v="1608.61787"/>
  </r>
  <r>
    <x v="0"/>
    <x v="0"/>
    <s v="S11012633"/>
    <s v="CYLINDER REAR CLEVIS PIN, PN: AE-GM12A-00-006-A, For SANY 245 EXCAVATOR"/>
    <s v="NOS"/>
    <n v="2"/>
    <n v="6230.5619999999999"/>
    <n v="12461.12441"/>
  </r>
  <r>
    <x v="0"/>
    <x v="0"/>
    <s v="S11012708"/>
    <s v="STEERING PUMP 16 LPM ZFH ENG, PN:X0E04700, FOR SANY TIPPER  BS 6."/>
    <s v="NOS"/>
    <n v="1"/>
    <n v="11457.52"/>
    <n v="11457.5203"/>
  </r>
  <r>
    <x v="0"/>
    <x v="0"/>
    <s v="S11012709"/>
    <s v="GULF POWER STEERING FLUID DURA MAX, PN:P9999999, FOR TIPPER BS 6."/>
    <s v="NOS"/>
    <n v="5"/>
    <n v="242.072"/>
    <n v="1210.3617999999999"/>
  </r>
  <r>
    <x v="0"/>
    <x v="0"/>
    <s v="S11012712"/>
    <s v="DEF TANK SUCTION FILTER 24L, PN: XFZ00200, FOR TIPPER"/>
    <s v="NOS"/>
    <n v="1"/>
    <n v="1619.9110000000001"/>
    <n v="1619.9108000000001"/>
  </r>
  <r>
    <x v="0"/>
    <x v="0"/>
    <s v="S11012725"/>
    <s v="SUCTION HOSE, PN: 12841180, FOR SANY 245 EXCAVATOR."/>
    <s v="NOS"/>
    <n v="1"/>
    <n v="1256.8499999999999"/>
    <n v="1256.8499999999999"/>
  </r>
  <r>
    <x v="0"/>
    <x v="0"/>
    <s v="S11012729"/>
    <s v="RUBBER HOSE, PN: B230103002695, FOR SANY 245 EXCAVATOR."/>
    <s v="NOS"/>
    <n v="1"/>
    <n v="1957.492"/>
    <n v="1957.49172"/>
  </r>
  <r>
    <x v="0"/>
    <x v="0"/>
    <s v="S11012737"/>
    <s v="CLUTCH RELEASE BRG ASSY 3800 1.755PL, PN: FVB00700, FOR TIPPER BS 6"/>
    <s v="NOS"/>
    <n v="1"/>
    <n v="1502.298"/>
    <n v="1502.2979"/>
  </r>
  <r>
    <x v="0"/>
    <x v="0"/>
    <s v="S11012793"/>
    <s v="HEAD LAMP ASSEMBLY, PN: 7200159, FOR HYDRA 14 TON ESCORTS."/>
    <s v="NOS"/>
    <n v="2"/>
    <n v="399.05200000000002"/>
    <n v="798.10499000000004"/>
  </r>
  <r>
    <x v="0"/>
    <x v="0"/>
    <s v="S11012809"/>
    <s v="STICK NOSE, FOR KOMATSU PC-71 EXCAVATOR."/>
    <s v="NOS"/>
    <n v="1"/>
    <n v="5287.2929999999997"/>
    <n v="5287.2928199999997"/>
  </r>
  <r>
    <x v="0"/>
    <x v="0"/>
    <s v="S11012821"/>
    <s v="HYDRAULIC HOSE ASSEMBLY, PN: B230103002294, FOR SANY 245 EXCAVATOR"/>
    <s v="NOS"/>
    <n v="2"/>
    <n v="4282.0344999999998"/>
    <n v="8564.0694800000001"/>
  </r>
  <r>
    <x v="0"/>
    <x v="0"/>
    <s v="S11012943"/>
    <s v="FILTER KIT (500Hrs), PN: KF210500C, FOR SANY 245 EXCAVATOR."/>
    <s v="NOS"/>
    <n v="1"/>
    <n v="5551.7920000000004"/>
    <n v="5551.7919700000002"/>
  </r>
  <r>
    <x v="0"/>
    <x v="0"/>
    <s v="S11012950"/>
    <s v="BOOM CYLINDER BTM PIN, FOR STATIONARY CRANE."/>
    <s v="NOS"/>
    <n v="2"/>
    <n v="1677.1980000000001"/>
    <n v="3354.3955999999998"/>
  </r>
  <r>
    <x v="0"/>
    <x v="0"/>
    <s v="S11012951"/>
    <s v="BOOM CYLINDER  BTM BUSH, FOR STATIONARY CRANE."/>
    <s v="NOS"/>
    <n v="2"/>
    <n v="660.71400000000006"/>
    <n v="1321.42857"/>
  </r>
  <r>
    <x v="0"/>
    <x v="0"/>
    <s v="S11012977"/>
    <s v="BOOM CYLINDER FOOT BUSH, FOR STATIONARY CRANE."/>
    <s v="NOS"/>
    <n v="2"/>
    <n v="609.89"/>
    <n v="1219.7802200000001"/>
  </r>
  <r>
    <x v="0"/>
    <x v="0"/>
    <s v="S11013045"/>
    <s v="SUCTION HOSE,PN:7203946, FOR HYDRA 14TON ESCORTS."/>
    <s v="NOS"/>
    <n v="1"/>
    <n v="361"/>
    <n v="361"/>
  </r>
  <r>
    <x v="0"/>
    <x v="0"/>
    <s v="S11013111"/>
    <s v="CENTER JOINT SEAL KIT,PN: SASP00032,FOR SANY 245 EXCAVATOR"/>
    <s v="NOS"/>
    <n v="1"/>
    <n v="10190.221"/>
    <n v="10190.220590000001"/>
  </r>
  <r>
    <x v="0"/>
    <x v="0"/>
    <s v="S11013160"/>
    <s v="PILOT FILTER,PN:SASP00274,FOR SANY 245-II EXCAVATOR."/>
    <s v="NOS"/>
    <n v="3"/>
    <n v="989.04100000000005"/>
    <n v="2967.1222600000001"/>
  </r>
  <r>
    <x v="0"/>
    <x v="0"/>
    <s v="S11013262"/>
    <s v="HOSE 1100MM, PN: 201-910-N170, FOR KOMATSU PC-71 EXCAVATOR."/>
    <s v="NOS"/>
    <n v="1"/>
    <n v="6515.7430000000004"/>
    <n v="6515.7434800000001"/>
  </r>
  <r>
    <x v="0"/>
    <x v="0"/>
    <s v="S11013271"/>
    <s v="CLUTCH PLATE, PN:B1M04302, FOR TIPPER BS 6"/>
    <s v="NOS"/>
    <n v="3"/>
    <n v="6040.6260000000002"/>
    <n v="18121.879410000001"/>
  </r>
  <r>
    <x v="0"/>
    <x v="0"/>
    <s v="S11013296"/>
    <s v="HOSE PIPE KIT, PN:GM12C4-H00-000, FOR APICAL GRABBER."/>
    <s v="NOS"/>
    <n v="1"/>
    <n v="27183.812999999998"/>
    <n v="27183.81293"/>
  </r>
  <r>
    <x v="0"/>
    <x v="0"/>
    <s v="S11013304"/>
    <s v="SPOOL BUCKET, PN :60281373, FOR SANY 245"/>
    <s v="NOS"/>
    <n v="1"/>
    <n v="7772.3770000000004"/>
    <n v="7772.3767600000001"/>
  </r>
  <r>
    <x v="0"/>
    <x v="0"/>
    <s v="S11013319"/>
    <s v="SEAL KIT FOR HYDRAULIC CYLINDER OF 0.5CBM, FOR GRABBER."/>
    <s v="NOS"/>
    <n v="5"/>
    <n v="1096"/>
    <n v="5480"/>
  </r>
  <r>
    <x v="0"/>
    <x v="0"/>
    <s v="S11013321"/>
    <s v="RELAY VALVE WITH PTFC, PN: FL402300, FOR TIPPER BSVI"/>
    <s v="NOS"/>
    <n v="1"/>
    <n v="6394.7479999999996"/>
    <n v="6394.74838"/>
  </r>
  <r>
    <x v="0"/>
    <x v="0"/>
    <s v="S11013328"/>
    <s v="O-RING; JOYSTICK, PN: 60008821, FOR THE STATIONARY CRANE"/>
    <s v="NOS"/>
    <n v="8"/>
    <n v="617.31299999999999"/>
    <n v="4938.5057999999999"/>
  </r>
  <r>
    <x v="0"/>
    <x v="0"/>
    <s v="S11013329"/>
    <s v="O-RING; JOYSTICK, PN: 60008822, FOR THE STATIONARY CRANE"/>
    <s v="NOS"/>
    <n v="12"/>
    <n v="602.04700000000003"/>
    <n v="7224.5683799999997"/>
  </r>
  <r>
    <x v="0"/>
    <x v="0"/>
    <s v="S11013330"/>
    <s v="O-RING; JOYSTICK, PN: 60281369, FOR THE STATIONARY CRANE"/>
    <s v="NOS"/>
    <n v="12"/>
    <n v="620.03399999999999"/>
    <n v="7484.5096800000001"/>
  </r>
  <r>
    <x v="0"/>
    <x v="0"/>
    <s v="S11013332"/>
    <s v="O-RING; JOYSTICK, PN: 60100513, FOR THE STATIONARY CRANE"/>
    <s v="NOS"/>
    <n v="4"/>
    <n v="604.1"/>
    <n v="2416.4"/>
  </r>
  <r>
    <x v="0"/>
    <x v="0"/>
    <s v="S11013333"/>
    <s v="O-RING; JOYSTICK, PN: 60008705, FOR THE STATIONARY CRANE"/>
    <s v="NOS"/>
    <n v="18"/>
    <n v="627.80899999999997"/>
    <n v="11300.55308"/>
  </r>
  <r>
    <x v="0"/>
    <x v="0"/>
    <s v="S11013352"/>
    <s v="PSV VALVE, PN: B220401001290, FOR THE SANY 245 EXCAVATOR"/>
    <s v="NOS"/>
    <n v="1"/>
    <n v="28668.225999999999"/>
    <n v="28668.225770000001"/>
  </r>
  <r>
    <x v="0"/>
    <x v="0"/>
    <s v="S11013353"/>
    <s v="PRV VALVE, PN: 60038117, FOR THE SANY 245 EXCAVATOR"/>
    <s v="NOS"/>
    <n v="1"/>
    <n v="28374.969000000001"/>
    <n v="28374.968570000001"/>
  </r>
  <r>
    <x v="0"/>
    <x v="0"/>
    <s v="S11013354"/>
    <s v="LOCK CABIN, PN: A229900003762, FOR THE SANY 245 EXCAVATOR"/>
    <s v="NOS"/>
    <n v="1"/>
    <n v="21101.442999999999"/>
    <n v="21101.44296"/>
  </r>
  <r>
    <x v="0"/>
    <x v="0"/>
    <s v="S11013356"/>
    <s v="PILOT ASSEMBLY, PN: B220401001302, FOR THE SANY 245 EXCAVATOR"/>
    <s v="NOS"/>
    <n v="1"/>
    <n v="26139.116000000002"/>
    <n v="26139.11594"/>
  </r>
  <r>
    <x v="0"/>
    <x v="0"/>
    <s v="S11013358"/>
    <s v="AIR DRYER ASSEMBLY, PN: C1498. FOR THE TIPPER BS 6"/>
    <s v="NOS"/>
    <n v="1"/>
    <n v="12935.388999999999"/>
    <n v="12935.388650000001"/>
  </r>
  <r>
    <x v="0"/>
    <x v="0"/>
    <s v="S11013359"/>
    <s v="HYDRAULIC TANK ASSEMBLY, PN: C1570, FOR THE TIPPER BS 6"/>
    <s v="NOS"/>
    <n v="1"/>
    <n v="30378.563999999998"/>
    <n v="30378.56424"/>
  </r>
  <r>
    <x v="0"/>
    <x v="0"/>
    <s v="S11013360"/>
    <s v="CLUTCH CYLINDER SMALL, PN: C1771, FOR THE TIPPER BS 6"/>
    <s v="NOS"/>
    <n v="1"/>
    <n v="4507.7870000000003"/>
    <n v="4507.7869499999997"/>
  </r>
  <r>
    <x v="0"/>
    <x v="0"/>
    <s v="S11013361"/>
    <s v="CLUTCH CYLINDER BIG, PN: C1770, FOR THE TIPPER BS 6"/>
    <s v="NOS"/>
    <n v="1"/>
    <n v="3560.498"/>
    <n v="3560.4983900000002"/>
  </r>
  <r>
    <x v="0"/>
    <x v="0"/>
    <s v="S11013363"/>
    <s v="COMPRESSOR ASSEMBLY, PN: B1C4300, FOR THE TIPPER BS 6"/>
    <s v="NOS"/>
    <n v="1"/>
    <n v="30378.563999999998"/>
    <n v="30378.56424"/>
  </r>
  <r>
    <x v="0"/>
    <x v="0"/>
    <s v="S11013376"/>
    <s v="ADBLUE/DEF LEVEL SENSOR, NOX SENSOR (SCR SYSTEM), PN: XCA01700, FOR THE TIPPER BS VI."/>
    <s v="NOS"/>
    <n v="2"/>
    <n v="18000"/>
    <n v="36000"/>
  </r>
  <r>
    <x v="0"/>
    <x v="0"/>
    <s v="S11020792"/>
    <s v="HYDRAULIC HEX NIPPLE SIZE : 1/2' x 1/2'"/>
    <s v="NOS"/>
    <n v="8"/>
    <n v="36.741"/>
    <n v="293.92592000000002"/>
  </r>
  <r>
    <x v="0"/>
    <x v="0"/>
    <s v="S11020987"/>
    <s v="PU PIPE 8 MM"/>
    <s v="MTR"/>
    <n v="4"/>
    <n v="19.492000000000001"/>
    <n v="77.969080000000005"/>
  </r>
  <r>
    <x v="0"/>
    <x v="0"/>
    <s v="S11020988"/>
    <s v="PU PIPE 10 MM"/>
    <s v="MTR"/>
    <n v="1"/>
    <n v="26"/>
    <n v="26"/>
  </r>
  <r>
    <x v="0"/>
    <x v="0"/>
    <s v="S11020989"/>
    <s v="PU PIPE 12 MM"/>
    <s v="MTR"/>
    <n v="3"/>
    <n v="41.61"/>
    <n v="124.83"/>
  </r>
  <r>
    <x v="0"/>
    <x v="0"/>
    <s v="S11020993"/>
    <s v="MS NIPPLE OD : 2' X 6' LONG"/>
    <s v="NOS"/>
    <n v="1"/>
    <n v="59.658000000000001"/>
    <n v="59.658079999999998"/>
  </r>
  <r>
    <x v="0"/>
    <x v="0"/>
    <s v="S11021206"/>
    <s v="HYDRAULIC HEX NIPPLE 1 1/2'' BSP MALE"/>
    <s v="NOS"/>
    <n v="1"/>
    <n v="176.571"/>
    <n v="176.57059000000001"/>
  </r>
  <r>
    <x v="0"/>
    <x v="0"/>
    <s v="S11021221"/>
    <s v="HYDRAULIC HEX NIPPLE 1/4''BSP"/>
    <s v="NOS"/>
    <n v="2"/>
    <n v="28.51"/>
    <n v="57.019100000000002"/>
  </r>
  <r>
    <x v="0"/>
    <x v="0"/>
    <s v="S11021381"/>
    <s v="HYDRAULIC HEX NIPPLE SIZE : 3/8' X 1/2'"/>
    <s v="NOS"/>
    <n v="1"/>
    <n v="38.927999999999997"/>
    <n v="38.928139999999999"/>
  </r>
  <r>
    <x v="0"/>
    <x v="0"/>
    <s v="S11021397"/>
    <s v="PU PIPE 6MM"/>
    <s v="MTR"/>
    <n v="15"/>
    <n v="9.75"/>
    <n v="146.25315000000001"/>
  </r>
  <r>
    <x v="0"/>
    <x v="0"/>
    <s v="S11061001"/>
    <s v="TYRE, TUBE &amp; FLAP, SIZE: 11.00 - 20, FOR HYDRA 14 TON"/>
    <s v="SET"/>
    <n v="1"/>
    <n v="17000"/>
    <n v="17000"/>
  </r>
  <r>
    <x v="0"/>
    <x v="0"/>
    <s v="S11061004"/>
    <s v="TUBE, 7.50-16, FOR TRACTOR 605"/>
    <s v="NOS"/>
    <n v="1"/>
    <n v="460.63"/>
    <n v="460.62992000000003"/>
  </r>
  <r>
    <x v="0"/>
    <x v="0"/>
    <s v="S11061008"/>
    <s v="TUBE, SIZE: 2.75 - 17, FOR TWO WHEELER"/>
    <s v="NOS"/>
    <n v="1"/>
    <n v="253.27500000000001"/>
    <n v="253.27491000000001"/>
  </r>
  <r>
    <x v="0"/>
    <x v="0"/>
    <s v="S11081027"/>
    <s v="HYDRAULIC GRABBER FOR SANY 245 EXA,CAPACITY-0.6 M3,PN:A22091019"/>
    <s v="NOS"/>
    <n v="1"/>
    <n v="698423"/>
    <n v="698423"/>
  </r>
  <r>
    <x v="0"/>
    <x v="0"/>
    <s v="S12010116"/>
    <s v="HT Bolt, Nut, Washer M 20 X 75 MM"/>
    <s v="NOS"/>
    <n v="8"/>
    <n v="73"/>
    <n v="584.00072"/>
  </r>
  <r>
    <x v="0"/>
    <x v="0"/>
    <s v="S12010214"/>
    <s v="Grinding Wheel AG-4"/>
    <s v="NOS"/>
    <n v="2"/>
    <n v="30.925999999999998"/>
    <n v="61.851860000000002"/>
  </r>
  <r>
    <x v="0"/>
    <x v="0"/>
    <s v="S12010228"/>
    <s v="Allen Key Set(size - mm)"/>
    <s v="SET"/>
    <n v="2"/>
    <n v="192.82"/>
    <n v="385.64066000000003"/>
  </r>
  <r>
    <x v="0"/>
    <x v="0"/>
    <s v="S12010250"/>
    <s v="DE Spanners Set 6-46"/>
    <s v="SET"/>
    <n v="1"/>
    <n v="1082.8789999999999"/>
    <n v="1082.8787500000001"/>
  </r>
  <r>
    <x v="0"/>
    <x v="0"/>
    <s v="S12010271"/>
    <s v="Ring Spanners Set 6-46"/>
    <s v="SET"/>
    <n v="1"/>
    <n v="2524.8609999999999"/>
    <n v="2524.8612499999999"/>
  </r>
  <r>
    <x v="0"/>
    <x v="0"/>
    <s v="S12010274"/>
    <s v="Screw Driver 12''"/>
    <s v="NOS"/>
    <n v="1"/>
    <n v="85.171000000000006"/>
    <n v="85.171130000000005"/>
  </r>
  <r>
    <x v="0"/>
    <x v="0"/>
    <s v="S12010311"/>
    <s v="Anabond 666 T"/>
    <s v="NOS"/>
    <n v="4"/>
    <n v="145.75200000000001"/>
    <n v="583.00739999999996"/>
  </r>
  <r>
    <x v="0"/>
    <x v="0"/>
    <s v="S12010319"/>
    <s v="M-seal"/>
    <s v="KG"/>
    <n v="1.25"/>
    <n v="219.81"/>
    <n v="278.36975000000001"/>
  </r>
  <r>
    <x v="0"/>
    <x v="0"/>
    <s v="S12040409"/>
    <s v="NOSE PLIERS IN"/>
    <s v="NOS"/>
    <n v="1"/>
    <n v="215.85400000000001"/>
    <n v="215.85355000000001"/>
  </r>
  <r>
    <x v="0"/>
    <x v="0"/>
    <s v="S12040410"/>
    <s v="NOSE PLIERS OUT"/>
    <s v="NOS"/>
    <n v="1"/>
    <n v="179.51599999999999"/>
    <n v="179.51613"/>
  </r>
  <r>
    <x v="0"/>
    <x v="0"/>
    <s v="S12040597"/>
    <s v="SOCKET SET SA46 ,1/4 SQ DR, 46 PCS"/>
    <s v="NOS"/>
    <n v="1"/>
    <n v="1704.723"/>
    <n v="1704.72291"/>
  </r>
  <r>
    <x v="0"/>
    <x v="0"/>
    <s v="S12040629"/>
    <s v="COMBINATION PLIER 8', PROD NO: 1621-8"/>
    <s v="NOS"/>
    <n v="1"/>
    <n v="190.89"/>
    <n v="190.89"/>
  </r>
  <r>
    <x v="0"/>
    <x v="0"/>
    <s v="S13010290"/>
    <s v="Cable Ties 200mm"/>
    <s v="PKT"/>
    <n v="1"/>
    <n v="100"/>
    <n v="100"/>
  </r>
  <r>
    <x v="0"/>
    <x v="0"/>
    <s v="S13010489"/>
    <s v="PVC Insulation Tape"/>
    <s v="NOS"/>
    <n v="5"/>
    <n v="7.2359999999999998"/>
    <n v="36.177549999999997"/>
  </r>
  <r>
    <x v="0"/>
    <x v="0"/>
    <s v="S13010499"/>
    <s v="Battery Terminals"/>
    <s v="NOS"/>
    <n v="4"/>
    <n v="63"/>
    <n v="252"/>
  </r>
  <r>
    <x v="0"/>
    <x v="0"/>
    <s v="S13030011"/>
    <s v="NYLON CABLE TIE SIZE 300MM"/>
    <s v="PKT"/>
    <n v="1"/>
    <n v="57.08"/>
    <n v="57.08"/>
  </r>
  <r>
    <x v="0"/>
    <x v="0"/>
    <s v="S13100490"/>
    <s v="GLASS TAPE 2 INCH"/>
    <s v="NOS"/>
    <n v="2"/>
    <n v="154.06700000000001"/>
    <n v="308.13477999999998"/>
  </r>
  <r>
    <x v="0"/>
    <x v="0"/>
    <s v="S13250507"/>
    <s v="BATTERY, 130 AH, 12 V"/>
    <s v="NOS"/>
    <n v="1"/>
    <n v="8600"/>
    <n v="8600"/>
  </r>
  <r>
    <x v="0"/>
    <x v="0"/>
    <s v="S13250511"/>
    <s v="BATTERY, 80 AH, 12 V, FOR JCB 430ZX LOADER"/>
    <s v="NOS"/>
    <n v="3"/>
    <n v="5525"/>
    <n v="16575"/>
  </r>
  <r>
    <x v="0"/>
    <x v="0"/>
    <s v="S14010068"/>
    <s v="BLACK GOGGLES"/>
    <s v="NOS"/>
    <n v="4"/>
    <n v="37.622"/>
    <n v="150.48604"/>
  </r>
  <r>
    <x v="0"/>
    <x v="0"/>
    <s v="S15010436"/>
    <s v="LOCKTITE 406 CAP-50ML"/>
    <s v="NOS"/>
    <n v="1"/>
    <n v="285.55099999999999"/>
    <n v="285.55083999999999"/>
  </r>
  <r>
    <x v="0"/>
    <x v="0"/>
    <s v="S16010105"/>
    <s v="Teflon Tape"/>
    <s v="NOS"/>
    <n v="4"/>
    <n v="7.5039999999999996"/>
    <n v="30.013999999999999"/>
  </r>
  <r>
    <x v="0"/>
    <x v="0"/>
    <s v="S18060001"/>
    <s v="Cotton Waste"/>
    <s v="KG"/>
    <n v="105"/>
    <n v="24.193142857142799"/>
    <n v="2540.3027999999999"/>
  </r>
  <r>
    <x v="0"/>
    <x v="0"/>
    <s v="S18130290"/>
    <s v="COTTON WASTE (BANIYAN)"/>
    <s v="KG"/>
    <n v="6"/>
    <n v="52.140999999999998"/>
    <n v="312.84780000000001"/>
  </r>
  <r>
    <x v="0"/>
    <x v="0"/>
    <s v="S20010031"/>
    <s v="Hologen Bulb H3 (24v)"/>
    <s v="NOS"/>
    <n v="2"/>
    <n v="40"/>
    <n v="80"/>
  </r>
  <r>
    <x v="0"/>
    <x v="0"/>
    <s v="S24010009"/>
    <s v="M.S Welding Electrodes 3.15mm"/>
    <s v="PKT"/>
    <n v="3"/>
    <n v="279.93400000000003"/>
    <n v="834.86764000000005"/>
  </r>
  <r>
    <x v="0"/>
    <x v="0"/>
    <s v="S24010010"/>
    <s v="M.S Welding Electrodes 4mm"/>
    <s v="PKT"/>
    <n v="12"/>
    <n v="347.433142857142"/>
    <n v="4170.0189600000003"/>
  </r>
  <r>
    <x v="0"/>
    <x v="0"/>
    <s v="S24010018"/>
    <s v="Welding Glasses Black"/>
    <s v="NOS"/>
    <n v="7"/>
    <n v="12.14"/>
    <n v="84.976709999999997"/>
  </r>
  <r>
    <x v="0"/>
    <x v="0"/>
    <s v="S30010043"/>
    <s v="Grease Gun Repair Kit"/>
    <s v="NOS"/>
    <n v="1"/>
    <n v="150.32400000000001"/>
    <n v="150.32365999999999"/>
  </r>
  <r>
    <x v="0"/>
    <x v="0"/>
    <s v="S30010144"/>
    <s v="STRAINER, PN: 22B-60-1160I, FOR STATIONARY CRANE"/>
    <s v="NOS"/>
    <n v="1"/>
    <n v="1818.75"/>
    <n v="1818.75"/>
  </r>
  <r>
    <x v="0"/>
    <x v="0"/>
    <s v="S30010145"/>
    <s v="ELEMENT, PN: 207-60-71183I, FOR STATIONARY CRANE"/>
    <s v="NOS"/>
    <n v="1"/>
    <n v="3031.25"/>
    <n v="3031.25"/>
  </r>
  <r>
    <x v="0"/>
    <x v="0"/>
    <s v="S30020117"/>
    <s v="PU SOCKET 8 MM"/>
    <s v="NOS"/>
    <n v="16"/>
    <n v="12.445"/>
    <n v="201.38892999999999"/>
  </r>
  <r>
    <x v="0"/>
    <x v="0"/>
    <s v="S30020118"/>
    <s v="PU SOCKET 10 MM"/>
    <s v="NOS"/>
    <n v="4"/>
    <n v="18"/>
    <n v="72"/>
  </r>
  <r>
    <x v="0"/>
    <x v="0"/>
    <s v="S30020119"/>
    <s v="PU SOCKET 12 MM"/>
    <s v="NOS"/>
    <n v="10"/>
    <n v="109.61"/>
    <n v="1096.0999999999999"/>
  </r>
  <r>
    <x v="0"/>
    <x v="0"/>
    <s v="S30020124"/>
    <s v="PU PIPE 16 MM"/>
    <s v="MTR"/>
    <n v="4"/>
    <n v="70"/>
    <n v="280"/>
  </r>
  <r>
    <x v="0"/>
    <x v="0"/>
    <s v="S30020152"/>
    <s v="P U STRAIGHT CONNECTOR 1/4' X 8 MM"/>
    <s v="NOS"/>
    <n v="4"/>
    <n v="15"/>
    <n v="60"/>
  </r>
  <r>
    <x v="0"/>
    <x v="0"/>
    <s v="S32010002"/>
    <s v="Break oil "/>
    <s v="LTR"/>
    <n v="3"/>
    <n v="480.13"/>
    <n v="1440.39"/>
  </r>
  <r>
    <x v="0"/>
    <x v="0"/>
    <s v="S32010006"/>
    <s v="Engine Oil 15W40-CI4 Plus"/>
    <s v="LTR"/>
    <n v="70"/>
    <n v="130.32499999999999"/>
    <n v="9122.7541999999994"/>
  </r>
  <r>
    <x v="0"/>
    <x v="0"/>
    <s v="S32010009"/>
    <s v="EP - 2 Grease"/>
    <s v="KG"/>
    <n v="182"/>
    <n v="236.64400000000001"/>
    <n v="43069.187980000002"/>
  </r>
  <r>
    <x v="0"/>
    <x v="0"/>
    <s v="S32010012"/>
    <s v="Gear Oil EP - 90"/>
    <s v="LTR"/>
    <n v="30"/>
    <n v="125.5"/>
    <n v="3765"/>
  </r>
  <r>
    <x v="0"/>
    <x v="0"/>
    <s v="S32010018"/>
    <s v="Hydralic Oil H - 68"/>
    <s v="LTR"/>
    <n v="1780"/>
    <n v="164.034083333333"/>
    <n v="306066.18190000003"/>
  </r>
  <r>
    <x v="0"/>
    <x v="0"/>
    <s v="S32010067"/>
    <s v="ENGINE OIL 20L, PN: 60024666P2, FOR SANY 245 EXCAVATOR"/>
    <s v="NOS"/>
    <n v="1"/>
    <n v="5511.2179999999998"/>
    <n v="5511.2184500000003"/>
  </r>
  <r>
    <x v="0"/>
    <x v="0"/>
    <s v="S32010069"/>
    <s v="HYDRAULIC OIL HLP 46"/>
    <s v="LTR"/>
    <n v="840"/>
    <n v="156"/>
    <n v="131040"/>
  </r>
  <r>
    <x v="0"/>
    <x v="1"/>
    <s v="S11050025"/>
    <s v="WORK PERMIT 100 PAGE BOOK (1+2), SIZE: A4"/>
    <s v="NOS"/>
    <n v="1"/>
    <n v="164.91200000000001"/>
    <n v="164.91228000000001"/>
  </r>
  <r>
    <x v="0"/>
    <x v="1"/>
    <s v="S14010015"/>
    <s v="Ear Plug"/>
    <s v="NOS"/>
    <n v="23"/>
    <n v="8.5037500000000001"/>
    <n v="195.7912"/>
  </r>
  <r>
    <x v="0"/>
    <x v="1"/>
    <s v="S14010036"/>
    <s v="Safety Goggles"/>
    <s v="NOS"/>
    <n v="106"/>
    <n v="39.428769230769198"/>
    <n v="4174.2472900000002"/>
  </r>
  <r>
    <x v="0"/>
    <x v="1"/>
    <s v="S14010038"/>
    <s v="Safety Helmet Blue"/>
    <s v="NOS"/>
    <n v="9"/>
    <n v="200.333"/>
    <n v="1802.9999700000001"/>
  </r>
  <r>
    <x v="0"/>
    <x v="1"/>
    <s v="S14010040"/>
    <s v="Safety Helmet White"/>
    <s v="NOS"/>
    <n v="1"/>
    <n v="170.29499999999999"/>
    <n v="170.29509999999999"/>
  </r>
  <r>
    <x v="0"/>
    <x v="1"/>
    <s v="S14010053"/>
    <s v="BARRICATION TAPE"/>
    <s v="NOS"/>
    <n v="3"/>
    <n v="255.61"/>
    <n v="766.83020999999997"/>
  </r>
  <r>
    <x v="0"/>
    <x v="1"/>
    <s v="S14010056"/>
    <s v="Nose Mask with Filter"/>
    <s v="NOS"/>
    <n v="20"/>
    <n v="20.012"/>
    <n v="395.18265000000002"/>
  </r>
  <r>
    <x v="0"/>
    <x v="1"/>
    <s v="S14010065"/>
    <s v="RUBBER HAND GLOVES 10'"/>
    <s v="PRS"/>
    <n v="16"/>
    <n v="28.405000000000001"/>
    <n v="454.48703999999998"/>
  </r>
  <r>
    <x v="0"/>
    <x v="1"/>
    <s v="S14010068"/>
    <s v="BLACK GOGGLES"/>
    <s v="NOS"/>
    <n v="35"/>
    <n v="37.622"/>
    <n v="1316.7528500000001"/>
  </r>
  <r>
    <x v="0"/>
    <x v="1"/>
    <s v="S14010072"/>
    <s v="DOTTED HAND GLOVES 10'"/>
    <s v="PRS"/>
    <n v="2"/>
    <n v="14.053000000000001"/>
    <n v="28.105779999999999"/>
  </r>
  <r>
    <x v="0"/>
    <x v="1"/>
    <s v="S14010094"/>
    <s v="COTTON CLOTH FASE MASK"/>
    <s v="NOS"/>
    <n v="339"/>
    <n v="11.074999999999999"/>
    <n v="3754.4250000000002"/>
  </r>
  <r>
    <x v="0"/>
    <x v="1"/>
    <s v="S14010096"/>
    <s v="SAFETY HELMET COLOR LIGHT BLUE"/>
    <s v="NOS"/>
    <n v="6"/>
    <n v="173.3475"/>
    <n v="1040.08455"/>
  </r>
  <r>
    <x v="0"/>
    <x v="1"/>
    <s v="S14010098"/>
    <s v="SAFETY HELMET COLOR GREY"/>
    <s v="NOS"/>
    <n v="1"/>
    <n v="168.404"/>
    <n v="168.40365"/>
  </r>
  <r>
    <x v="0"/>
    <x v="1"/>
    <s v="S14010113"/>
    <s v="HIGH ANKLE DOUBLE PU SOLE SAFETY SHOE SIZE NO.8"/>
    <s v="PRS"/>
    <n v="1"/>
    <n v="956.78800000000001"/>
    <n v="956.78786000000002"/>
  </r>
  <r>
    <x v="0"/>
    <x v="1"/>
    <s v="S14010118"/>
    <s v="LOW ANKLE DOUBLE PU SOLE SAFETY SHOE SIZE NO.7"/>
    <s v="PRS"/>
    <n v="5"/>
    <n v="855.00199999999995"/>
    <n v="4275.0096000000003"/>
  </r>
  <r>
    <x v="0"/>
    <x v="1"/>
    <s v="S14010119"/>
    <s v="LOW ANKLE DOUBLE PU SOLE SAFETY SHOE SIZE NO.8"/>
    <s v="PRS"/>
    <n v="12"/>
    <n v="854.67550000000006"/>
    <n v="10256.104230000001"/>
  </r>
  <r>
    <x v="0"/>
    <x v="1"/>
    <s v="S14010120"/>
    <s v="LOW ANKLE DOUBLE PU SOLE SAFETY SHOE SIZE NO.9"/>
    <s v="PRS"/>
    <n v="3"/>
    <n v="853.69600000000003"/>
    <n v="2561.0869499999999"/>
  </r>
  <r>
    <x v="0"/>
    <x v="1"/>
    <s v="S14010121"/>
    <s v="LOW ANKLE DOUBLE PU SOLE SAFETY SHOE SIZE NO.10"/>
    <s v="PRS"/>
    <n v="2"/>
    <n v="853.69600000000003"/>
    <n v="1707.3913"/>
  </r>
  <r>
    <x v="0"/>
    <x v="1"/>
    <s v="S14010124"/>
    <s v="ELECTRICAL, FIBER TOE SAFETY SHOE 07"/>
    <s v="PRS"/>
    <n v="1"/>
    <n v="840.476"/>
    <n v="840.47618999999997"/>
  </r>
  <r>
    <x v="0"/>
    <x v="1"/>
    <s v="S14010126"/>
    <s v="ELECTRICAL, FIBER TOE SAFETY SHOE 09"/>
    <s v="PRS"/>
    <n v="1"/>
    <n v="968.48800000000006"/>
    <n v="968.48749999999995"/>
  </r>
  <r>
    <x v="0"/>
    <x v="1"/>
    <s v="S14010127"/>
    <s v="ELECTRICAL, FIBER TOE SAFETY SHOE 10"/>
    <s v="PRS"/>
    <n v="1"/>
    <n v="932"/>
    <n v="932"/>
  </r>
  <r>
    <x v="0"/>
    <x v="1"/>
    <s v="S14010160"/>
    <s v="HAND GLOVES, GRAY INDUSTRIAL NITRILE COATED"/>
    <s v="PRS"/>
    <n v="164"/>
    <n v="36.821272727272699"/>
    <n v="6037.5194499999998"/>
  </r>
  <r>
    <x v="0"/>
    <x v="1"/>
    <s v="S18060055"/>
    <s v="UMBRELLA"/>
    <s v="NOS"/>
    <n v="22"/>
    <n v="171.959"/>
    <n v="3783.09888"/>
  </r>
  <r>
    <x v="0"/>
    <x v="1"/>
    <s v="S18060108"/>
    <s v="RAIN COAT/ SUITS"/>
    <s v="NOS"/>
    <n v="22"/>
    <n v="602.81200000000001"/>
    <n v="13263.09996"/>
  </r>
  <r>
    <x v="0"/>
    <x v="2"/>
    <s v="S01010037"/>
    <s v="INV SCR CAPSUL, (TDIE-002), IF SPARE"/>
    <s v="NOS"/>
    <n v="2"/>
    <n v="52523.173000000003"/>
    <n v="105046.345"/>
  </r>
  <r>
    <x v="0"/>
    <x v="2"/>
    <s v="S01010055"/>
    <s v="MT-193N-01, IF SPARE"/>
    <s v="NOS"/>
    <n v="1"/>
    <n v="9105.0949999999993"/>
    <n v="9105.0948100000005"/>
  </r>
  <r>
    <x v="0"/>
    <x v="2"/>
    <s v="S01010062"/>
    <s v="MT-534-00, IF SPARE"/>
    <s v="NOS"/>
    <n v="2"/>
    <n v="3665.944"/>
    <n v="7331.8885099999998"/>
  </r>
  <r>
    <x v="0"/>
    <x v="2"/>
    <s v="S01010208"/>
    <s v="THERMOSTAT, 70 DEG WITH INDICATOR, NC TYPE, IF SPARE"/>
    <s v="NOS"/>
    <n v="30"/>
    <n v="594.875"/>
    <n v="17846.25"/>
  </r>
  <r>
    <x v="0"/>
    <x v="2"/>
    <s v="S02010127"/>
    <s v="MASTER CONTROLLER, TYPE:CM4/6, 415V,40A"/>
    <s v="NOS"/>
    <n v="3"/>
    <n v="6053.0069999999996"/>
    <n v="18159.021270000001"/>
  </r>
  <r>
    <x v="0"/>
    <x v="2"/>
    <s v="S02010137"/>
    <s v="CABLE TROLLEY WHEEL FOR 80 TON EOT CRANE"/>
    <s v="NOS"/>
    <n v="24"/>
    <n v="293.35700000000003"/>
    <n v="7040.5713599999999"/>
  </r>
  <r>
    <x v="0"/>
    <x v="2"/>
    <s v="S02010265"/>
    <s v="CABLE TROLLEY WHEEL FOR 15 TON EOT CRANE"/>
    <s v="NOS"/>
    <n v="10"/>
    <n v="196.22499999999999"/>
    <n v="1962.2543000000001"/>
  </r>
  <r>
    <x v="0"/>
    <x v="2"/>
    <s v="S02010299"/>
    <s v="MASTER CONTROLLER TYPE : MSC- 2000/10 , 09 CIRCUTIES"/>
    <s v="NOS"/>
    <n v="1"/>
    <n v="31683.200000000001"/>
    <n v="31683.200000000001"/>
  </r>
  <r>
    <x v="0"/>
    <x v="2"/>
    <s v="S03010263"/>
    <s v="CASTING SELECTOR SWITCH FOR MOP, FOR CCM"/>
    <s v="NOS"/>
    <n v="7"/>
    <n v="291"/>
    <n v="2037"/>
  </r>
  <r>
    <x v="0"/>
    <x v="2"/>
    <s v="S03010264"/>
    <s v="CASTING SPEED INDICATOR (0- 5 MTR/MIN), FOR CCM"/>
    <s v="NOS"/>
    <n v="1"/>
    <n v="4626.7"/>
    <n v="4626.7"/>
  </r>
  <r>
    <x v="0"/>
    <x v="2"/>
    <s v="S03010265"/>
    <s v="FREQUENCY SPEED INDICATOR (0-200/250 CYCLES/MIN), FOR CCM"/>
    <s v="NOS"/>
    <n v="1"/>
    <n v="4647.8339999999998"/>
    <n v="4647.8339999999998"/>
  </r>
  <r>
    <x v="0"/>
    <x v="2"/>
    <s v="S03010274"/>
    <s v="Limit Switch, Type:BC9 'T', 10A, 230 Vac/30 Vdc"/>
    <s v="NOS"/>
    <n v="3"/>
    <n v="875"/>
    <n v="2625"/>
  </r>
  <r>
    <x v="0"/>
    <x v="2"/>
    <s v="S03010275"/>
    <s v="Pressure Switch, Model:PSM-550-B211CD, Range:0.2 to 3 Bar"/>
    <s v="NOS"/>
    <n v="2"/>
    <n v="2138.2179999999998"/>
    <n v="4276.4350999999997"/>
  </r>
  <r>
    <x v="0"/>
    <x v="2"/>
    <s v="S03010280"/>
    <s v="ANALOG VOLTAGE INPUT MODULE, 2 CH. CAT. 1734-IE2 V ALLEN BRADLEY FOR PLC &amp; AC DRIVE H/W, FOR CCM"/>
    <s v="NOS"/>
    <n v="1"/>
    <n v="11625"/>
    <n v="11625"/>
  </r>
  <r>
    <x v="0"/>
    <x v="2"/>
    <s v="S03010282"/>
    <s v="ANALOG CURRENT INPUT MODULE, 4 CH. CAT. 1734-IE8C ALLEN BRADLEY FOR PLC &amp; AC DRIVE H/W, FOR CCM"/>
    <s v="NOS"/>
    <n v="1"/>
    <n v="34875"/>
    <n v="34875"/>
  </r>
  <r>
    <x v="0"/>
    <x v="2"/>
    <s v="S03010283"/>
    <s v="ANALOG VOLTAGE OUTPUT MODULE, 2 CH.  CAT. 1734-OE2V ALLEN BRADLEY FOR PLC &amp; AC DRIVE H/W, FOR CCM"/>
    <s v="NOS"/>
    <n v="1"/>
    <n v="11625"/>
    <n v="11625"/>
  </r>
  <r>
    <x v="0"/>
    <x v="2"/>
    <s v="S08070305"/>
    <s v="MS HEX BOLT M8 X 50"/>
    <s v="KG"/>
    <n v="0.5"/>
    <n v="92.477000000000004"/>
    <n v="46.238529999999997"/>
  </r>
  <r>
    <x v="0"/>
    <x v="2"/>
    <s v="S08080352"/>
    <s v="SS CHEESE HEAD SCREW - M3 X 10 MM"/>
    <s v="NOS"/>
    <n v="30"/>
    <n v="0.627"/>
    <n v="18.7959"/>
  </r>
  <r>
    <x v="0"/>
    <x v="2"/>
    <s v="S08090175"/>
    <s v="HEX BOLT, SS 304, M6X40, FULL THREAD WITH NUT &amp; DOUBLE WASHER"/>
    <s v="SET"/>
    <n v="20"/>
    <n v="6"/>
    <n v="120"/>
  </r>
  <r>
    <x v="0"/>
    <x v="2"/>
    <s v="S08090188"/>
    <s v="HEX BOLT, SS 304, M12X40, FULL THREAD WITH NUT &amp; DOUBLE WASHER"/>
    <s v="SET"/>
    <n v="25"/>
    <n v="19.672999999999998"/>
    <n v="491.81774999999999"/>
  </r>
  <r>
    <x v="0"/>
    <x v="2"/>
    <s v="S11011033"/>
    <s v="Paint Brush 2 "/>
    <s v="NOS"/>
    <n v="8"/>
    <n v="34.845750000000002"/>
    <n v="193.3717"/>
  </r>
  <r>
    <x v="0"/>
    <x v="2"/>
    <s v="S11011143"/>
    <s v="16 Gauge Soldering Wire / Lead"/>
    <s v="NOS"/>
    <n v="1"/>
    <n v="450"/>
    <n v="450"/>
  </r>
  <r>
    <x v="0"/>
    <x v="2"/>
    <s v="S11051070"/>
    <s v="DAILY CHECKLIST LOGBOOK, 15 MVA TRANSFORMER, CLOTH BINDING,90 PAGES ,LEGAL SIZE"/>
    <s v="NOS"/>
    <n v="3"/>
    <n v="225.99100000000001"/>
    <n v="677.97230000000002"/>
  </r>
  <r>
    <x v="0"/>
    <x v="2"/>
    <s v="S11051072"/>
    <s v="DAILY CHECKLIST LOGBOOK, HEAT REPORT, CLOTH BINDING,90 PAGES ,LEGAL SIZE"/>
    <s v="NOS"/>
    <n v="1"/>
    <n v="210.81700000000001"/>
    <n v="210.81702999999999"/>
  </r>
  <r>
    <x v="0"/>
    <x v="2"/>
    <s v="S11051140"/>
    <s v="HEAT SHRINK TUBE/FERRULE LABEL CARTRIDGE,MODEL : LK-4WBA5,BLACK ON WHITE, 5MM X 2.5M,MAKE:EPSON ,"/>
    <s v="NOS"/>
    <n v="5"/>
    <n v="1680"/>
    <n v="8400"/>
  </r>
  <r>
    <x v="0"/>
    <x v="2"/>
    <s v="S11101125"/>
    <s v="AUTO DRAIN VALVE,MODEL ETD-121,POWER 400 OHM,230VAC,DRAIN TIME 4-15SEC,I T 1-128 SEC"/>
    <s v="NOS"/>
    <n v="3"/>
    <n v="2580"/>
    <n v="7740"/>
  </r>
  <r>
    <x v="0"/>
    <x v="2"/>
    <s v="S11101247"/>
    <s v="SOLENOID CONNECTOR DIN43650 TYPE-2P+E, 250VAC, 10A, MODEL-HD211/SL"/>
    <s v="NOS"/>
    <n v="2"/>
    <n v="56"/>
    <n v="112"/>
  </r>
  <r>
    <x v="0"/>
    <x v="2"/>
    <s v="S11121116"/>
    <s v="DIGITAL WEIGHING SCALE, PLATFORM SIZE 1200 MM X 1200 MM, CAP-1000 KG ,MODEL: ZM303 MLHD"/>
    <s v="NOS"/>
    <n v="1"/>
    <n v="23530"/>
    <n v="23530"/>
  </r>
  <r>
    <x v="0"/>
    <x v="2"/>
    <s v="S11121138"/>
    <s v="JUMBO DISPLAY H-175, W-470, D-145 MM FOR WEIGHING MACHINE, MODEL: L511A, MAKE: AVERY WEIGH-TRONIX"/>
    <s v="NOS"/>
    <n v="1"/>
    <n v="14535"/>
    <n v="14535"/>
  </r>
  <r>
    <x v="0"/>
    <x v="2"/>
    <s v="S12010064"/>
    <s v="Anchor Bolt M 10 X 75 MM"/>
    <s v="NOS"/>
    <n v="15"/>
    <n v="9.2949999999999999"/>
    <n v="139.42094"/>
  </r>
  <r>
    <x v="0"/>
    <x v="2"/>
    <s v="S12010200"/>
    <s v="Cutting Wheel AG4"/>
    <s v="NOS"/>
    <n v="5"/>
    <n v="11.231"/>
    <n v="56.155000000000001"/>
  </r>
  <r>
    <x v="0"/>
    <x v="2"/>
    <s v="S12010207"/>
    <s v="Buffing Wheel AG-4"/>
    <s v="NOS"/>
    <n v="7"/>
    <n v="22.5425"/>
    <n v="157.71588"/>
  </r>
  <r>
    <x v="0"/>
    <x v="2"/>
    <s v="S12010240"/>
    <s v="DE Spanner 16 x 17"/>
    <s v="NOS"/>
    <n v="2"/>
    <n v="56.287999999999997"/>
    <n v="112.57697"/>
  </r>
  <r>
    <x v="0"/>
    <x v="2"/>
    <s v="S12010241"/>
    <s v="DE Spanner 18 x 19"/>
    <s v="NOS"/>
    <n v="2"/>
    <n v="39.170999999999999"/>
    <n v="78.341740000000001"/>
  </r>
  <r>
    <x v="0"/>
    <x v="2"/>
    <s v="S12010303"/>
    <s v="HackSaw Blades"/>
    <s v="NOS"/>
    <n v="3"/>
    <n v="47.512999999999998"/>
    <n v="142.54002"/>
  </r>
  <r>
    <x v="0"/>
    <x v="2"/>
    <s v="S12010319"/>
    <s v="M-seal"/>
    <s v="KG"/>
    <n v="0.25"/>
    <n v="227.00700000000001"/>
    <n v="56.751750000000001"/>
  </r>
  <r>
    <x v="0"/>
    <x v="2"/>
    <s v="S12030008"/>
    <s v="BOSCH DRILL BIT SET FOR METAL DRILLING"/>
    <s v="SET"/>
    <n v="1"/>
    <n v="1860.529"/>
    <n v="1860.5294200000001"/>
  </r>
  <r>
    <x v="0"/>
    <x v="2"/>
    <s v="S12030366"/>
    <s v="MIXED SCREWDRIVER BITS SET WITH HOLDER ,( 45 PCS )MAKE :BOSCH"/>
    <s v="NOS"/>
    <n v="1"/>
    <n v="1601"/>
    <n v="1601"/>
  </r>
  <r>
    <x v="0"/>
    <x v="2"/>
    <s v="S12040025"/>
    <s v="MINI HACKSAW FRAME WITH BLADE 6 INCH TAPARIA"/>
    <s v="NOS"/>
    <n v="1"/>
    <n v="124.57"/>
    <n v="124.57003"/>
  </r>
  <r>
    <x v="0"/>
    <x v="2"/>
    <s v="S12040089"/>
    <s v="INSULATED SCREW DRIVER 2 IN 1, SIZE: 200 X 6 MM"/>
    <s v="NOS"/>
    <n v="10"/>
    <n v="60.48"/>
    <n v="604.79999999999995"/>
  </r>
  <r>
    <x v="0"/>
    <x v="2"/>
    <s v="S12040090"/>
    <s v="LINE TESTER, 600V, SIZE: 55 X 6 MM"/>
    <s v="NOS"/>
    <n v="10"/>
    <n v="38.43"/>
    <n v="384.3"/>
  </r>
  <r>
    <x v="0"/>
    <x v="2"/>
    <s v="S12040374"/>
    <s v="RING SPANNER 18 X 19"/>
    <s v="NOS"/>
    <n v="2"/>
    <n v="84.753"/>
    <n v="169.50623999999999"/>
  </r>
  <r>
    <x v="0"/>
    <x v="2"/>
    <s v="S12040629"/>
    <s v="COMBINATION PLIER 8', PROD NO: 1621-8"/>
    <s v="NOS"/>
    <n v="3"/>
    <n v="190.89"/>
    <n v="572.66999999999996"/>
  </r>
  <r>
    <x v="0"/>
    <x v="2"/>
    <s v="S13010050"/>
    <s v="MCB 2 Pole 2 Amp"/>
    <s v="NOS"/>
    <n v="3"/>
    <n v="498.12"/>
    <n v="1481.48"/>
  </r>
  <r>
    <x v="0"/>
    <x v="2"/>
    <s v="S13010090"/>
    <s v="Contactors 3pole,25amps,aux(sup)-230v ac,"/>
    <s v="NOS"/>
    <n v="2"/>
    <n v="1430.6890000000001"/>
    <n v="2861.37788"/>
  </r>
  <r>
    <x v="0"/>
    <x v="2"/>
    <s v="S13010126"/>
    <s v="HBC Fuse NS Type 63A "/>
    <s v="NOS"/>
    <n v="10"/>
    <n v="123.75"/>
    <n v="1237.5"/>
  </r>
  <r>
    <x v="0"/>
    <x v="2"/>
    <s v="S13010145"/>
    <s v="MCB 10A, 1 Pole"/>
    <s v="NOS"/>
    <n v="2"/>
    <n v="111.8"/>
    <n v="223.6"/>
  </r>
  <r>
    <x v="0"/>
    <x v="2"/>
    <s v="S13010150"/>
    <s v="MCB 6A, 1 Pole"/>
    <s v="NOS"/>
    <n v="3"/>
    <n v="109.97499999999999"/>
    <n v="329.92500000000001"/>
  </r>
  <r>
    <x v="0"/>
    <x v="2"/>
    <s v="S13010151"/>
    <s v="MCB 10A, 2 Pole"/>
    <s v="NOS"/>
    <n v="3"/>
    <n v="325"/>
    <n v="975"/>
  </r>
  <r>
    <x v="0"/>
    <x v="2"/>
    <s v="S13010153"/>
    <s v="MCB 32A, 2 Pole"/>
    <s v="NOS"/>
    <n v="5"/>
    <n v="351.892"/>
    <n v="1732.5683899999999"/>
  </r>
  <r>
    <x v="0"/>
    <x v="2"/>
    <s v="S13010155"/>
    <s v="MCB 6 A, 2 Pole"/>
    <s v="NOS"/>
    <n v="5"/>
    <n v="325.291666666666"/>
    <n v="1625.875"/>
  </r>
  <r>
    <x v="0"/>
    <x v="2"/>
    <s v="S13010158"/>
    <s v="MCB 32 A, 3 Pole"/>
    <s v="NOS"/>
    <n v="3"/>
    <n v="588.05799999999999"/>
    <n v="1809.15228"/>
  </r>
  <r>
    <x v="0"/>
    <x v="2"/>
    <s v="S13010159"/>
    <s v="MCB 63 A, 3 Pole"/>
    <s v="NOS"/>
    <n v="5"/>
    <n v="887.45166666666603"/>
    <n v="4444.7688500000004"/>
  </r>
  <r>
    <x v="0"/>
    <x v="2"/>
    <s v="S13010161"/>
    <s v="MCB 32A, 4 Pole"/>
    <s v="NOS"/>
    <n v="4"/>
    <n v="694.90499999999997"/>
    <n v="2779.6182399999998"/>
  </r>
  <r>
    <x v="0"/>
    <x v="2"/>
    <s v="S13010162"/>
    <s v="MCB 63A, 4 Pole"/>
    <s v="NOS"/>
    <n v="5"/>
    <n v="1076.9375"/>
    <n v="5414.5"/>
  </r>
  <r>
    <x v="0"/>
    <x v="2"/>
    <s v="S13010167"/>
    <s v="MCCB 125 AMPS"/>
    <s v="NOS"/>
    <n v="1"/>
    <n v="13235.4"/>
    <n v="13235.4"/>
  </r>
  <r>
    <x v="0"/>
    <x v="2"/>
    <s v="S13010176"/>
    <s v="MPCB 1.6 - 2.4A"/>
    <s v="NOS"/>
    <n v="1"/>
    <n v="2564.6889999999999"/>
    <n v="2564.6891500000002"/>
  </r>
  <r>
    <x v="0"/>
    <x v="2"/>
    <s v="S13010179"/>
    <s v="MPCB 10A to 16 A"/>
    <s v="NOS"/>
    <n v="2"/>
    <n v="3906.2249999999999"/>
    <n v="7812.45"/>
  </r>
  <r>
    <x v="0"/>
    <x v="2"/>
    <s v="S13010181"/>
    <s v="MPCB 14A to 20 A"/>
    <s v="NOS"/>
    <n v="1"/>
    <n v="4105.1229999999996"/>
    <n v="4105.1232300000001"/>
  </r>
  <r>
    <x v="0"/>
    <x v="2"/>
    <s v="S13010183"/>
    <s v="MPCB 2.4 - 4A"/>
    <s v="NOS"/>
    <n v="1"/>
    <n v="2820"/>
    <n v="2820"/>
  </r>
  <r>
    <x v="0"/>
    <x v="2"/>
    <s v="S13010187"/>
    <s v="MPCB 20 - 25A"/>
    <s v="NOS"/>
    <n v="1"/>
    <n v="4207.2269999999999"/>
    <n v="4207.2269100000003"/>
  </r>
  <r>
    <x v="0"/>
    <x v="2"/>
    <s v="S13010194"/>
    <s v="MPCB 4A to 6.3A"/>
    <s v="NOS"/>
    <n v="1"/>
    <n v="3187.4859999999999"/>
    <n v="3187.4860699999999"/>
  </r>
  <r>
    <x v="0"/>
    <x v="2"/>
    <s v="S13010196"/>
    <s v="MPCB 6A to 10A"/>
    <s v="NOS"/>
    <n v="1"/>
    <n v="2597.9549999999999"/>
    <n v="2597.9549999999999"/>
  </r>
  <r>
    <x v="0"/>
    <x v="2"/>
    <s v="S13010198"/>
    <s v="MPCB 9A to 14 A"/>
    <s v="NOS"/>
    <n v="5"/>
    <n v="3874.864"/>
    <n v="20098.192459999998"/>
  </r>
  <r>
    <x v="0"/>
    <x v="2"/>
    <s v="S13010200"/>
    <s v="NC Elements"/>
    <s v="NOS"/>
    <n v="25"/>
    <n v="56"/>
    <n v="1400"/>
  </r>
  <r>
    <x v="0"/>
    <x v="2"/>
    <s v="S13010201"/>
    <s v="NO Elements"/>
    <s v="NOS"/>
    <n v="35"/>
    <n v="49.156500000000001"/>
    <n v="1686.2588000000001"/>
  </r>
  <r>
    <x v="0"/>
    <x v="2"/>
    <s v="S13010220"/>
    <s v="Ply relays 8 Pin with bases,aux-230v ac"/>
    <s v="NOS"/>
    <n v="2"/>
    <n v="205"/>
    <n v="410"/>
  </r>
  <r>
    <x v="0"/>
    <x v="2"/>
    <s v="S13010233"/>
    <s v="ON Push Button Indicator Green RCB 2BA3"/>
    <s v="NOS"/>
    <n v="10"/>
    <n v="80"/>
    <n v="800"/>
  </r>
  <r>
    <x v="0"/>
    <x v="2"/>
    <s v="S13010273"/>
    <s v="Cable Metal glands (double compressing) 19mm  "/>
    <s v="NOS"/>
    <n v="18"/>
    <n v="166.28800000000001"/>
    <n v="3022.8912"/>
  </r>
  <r>
    <x v="0"/>
    <x v="2"/>
    <s v="S13010292"/>
    <s v="Lugs 1.5 Fork Type Copper Lugs"/>
    <s v="NOS"/>
    <n v="40"/>
    <n v="1.5"/>
    <n v="60"/>
  </r>
  <r>
    <x v="0"/>
    <x v="2"/>
    <s v="S13010300"/>
    <s v="Lugs 120sqmm Ring Type Copper Lugs"/>
    <s v="NOS"/>
    <n v="21"/>
    <n v="110.387"/>
    <n v="2318.1228000000001"/>
  </r>
  <r>
    <x v="0"/>
    <x v="2"/>
    <s v="S13010321"/>
    <s v="Lugs 25sqmm Ring Type Copper Lugs"/>
    <s v="NOS"/>
    <n v="10"/>
    <n v="21.382000000000001"/>
    <n v="213.82249999999999"/>
  </r>
  <r>
    <x v="0"/>
    <x v="2"/>
    <s v="S13010330"/>
    <s v="Lugs 4-6sqmm Ring Type Copper  Lugs"/>
    <s v="NOS"/>
    <n v="20"/>
    <n v="3.9820000000000002"/>
    <n v="79.644999999999996"/>
  </r>
  <r>
    <x v="0"/>
    <x v="2"/>
    <s v="S13010337"/>
    <s v="Lugs 50 SqmmType- RING, Copper"/>
    <s v="NOS"/>
    <n v="12"/>
    <n v="28.786999999999999"/>
    <n v="345.44508000000002"/>
  </r>
  <r>
    <x v="0"/>
    <x v="2"/>
    <s v="S13010362"/>
    <s v="Socket 16A, 5 - Pin"/>
    <s v="NOS"/>
    <n v="17"/>
    <n v="88.998000000000005"/>
    <n v="1542.24"/>
  </r>
  <r>
    <x v="0"/>
    <x v="2"/>
    <s v="S13010372"/>
    <s v="Plug 3 Pin 16A"/>
    <s v="NOS"/>
    <n v="9"/>
    <n v="70.5"/>
    <n v="634.5"/>
  </r>
  <r>
    <x v="0"/>
    <x v="2"/>
    <s v="S13010383"/>
    <s v="Sockets,Type-Pressing 16amps 3 Pin"/>
    <s v="NOS"/>
    <n v="17"/>
    <n v="53.76"/>
    <n v="913.92"/>
  </r>
  <r>
    <x v="0"/>
    <x v="2"/>
    <s v="S13010390"/>
    <s v="Switch,type-pressing 16amps "/>
    <s v="NOS"/>
    <n v="42"/>
    <n v="50.458571428571403"/>
    <n v="2118.6735600000002"/>
  </r>
  <r>
    <x v="0"/>
    <x v="2"/>
    <s v="S13010393"/>
    <s v="6 Modular Switch Board Set"/>
    <s v="NOS"/>
    <n v="9"/>
    <n v="120.3"/>
    <n v="1076.7"/>
  </r>
  <r>
    <x v="0"/>
    <x v="2"/>
    <s v="S13010394"/>
    <s v="8  Modular Switch Board Set"/>
    <s v="NOS"/>
    <n v="3"/>
    <n v="145.32"/>
    <n v="435.96"/>
  </r>
  <r>
    <x v="0"/>
    <x v="2"/>
    <s v="S13010448"/>
    <s v="Exhaust Fan,  12 Inch,  4 Pole, Single Phase"/>
    <s v="NOS"/>
    <n v="1"/>
    <n v="2750"/>
    <n v="2750"/>
  </r>
  <r>
    <x v="0"/>
    <x v="2"/>
    <s v="S13010467"/>
    <s v="Terminal Blocks 1.5sq mm,(Mounting- open C channel)"/>
    <s v="NOS"/>
    <n v="50"/>
    <n v="8.6760000000000002"/>
    <n v="433.81133"/>
  </r>
  <r>
    <x v="0"/>
    <x v="2"/>
    <s v="S13010468"/>
    <s v="Terminal Blocks 10sq mm,(Mounting- open C channel)"/>
    <s v="NOS"/>
    <n v="30"/>
    <n v="19.216999999999999"/>
    <n v="576.50298999999995"/>
  </r>
  <r>
    <x v="0"/>
    <x v="2"/>
    <s v="S13010469"/>
    <s v="Terminal Blocks 16sq mm,(Mounting- open C channel)"/>
    <s v="NOS"/>
    <n v="20"/>
    <n v="34.633000000000003"/>
    <n v="692.66404"/>
  </r>
  <r>
    <x v="0"/>
    <x v="2"/>
    <s v="S13010470"/>
    <s v="Terminal Blocks 2.5sq mm,(Mounting- open C channel)"/>
    <s v="NOS"/>
    <n v="60"/>
    <n v="6.34"/>
    <n v="380.4"/>
  </r>
  <r>
    <x v="0"/>
    <x v="2"/>
    <s v="S13010471"/>
    <s v="Terminal Blocks 25sq mm,(Mounting- open C channel)"/>
    <s v="NOS"/>
    <n v="15"/>
    <n v="56.503"/>
    <n v="847.54543999999999"/>
  </r>
  <r>
    <x v="0"/>
    <x v="2"/>
    <s v="S13010472"/>
    <s v="Terminal Blocks 35sq mm,(Mounting- open C channel)"/>
    <s v="NOS"/>
    <n v="20"/>
    <n v="57"/>
    <n v="1140"/>
  </r>
  <r>
    <x v="0"/>
    <x v="2"/>
    <s v="S13010473"/>
    <s v="Terminal Blocks 4sq mm,(Mounting- open C channel)"/>
    <s v="NOS"/>
    <n v="80"/>
    <n v="10.541"/>
    <n v="843.24318000000005"/>
  </r>
  <r>
    <x v="0"/>
    <x v="2"/>
    <s v="S13010474"/>
    <s v="Terminal Blocks 50sq mm,(Mounting- open C channel)"/>
    <s v="NOS"/>
    <n v="20"/>
    <n v="101"/>
    <n v="2020"/>
  </r>
  <r>
    <x v="0"/>
    <x v="2"/>
    <s v="S13010475"/>
    <s v="Terminal Blocks 6sq mm,(Mounting- open C channel)"/>
    <s v="NOS"/>
    <n v="40"/>
    <n v="14.771000000000001"/>
    <n v="590.84400000000005"/>
  </r>
  <r>
    <x v="0"/>
    <x v="2"/>
    <s v="S13010482"/>
    <s v="Aluminum tape"/>
    <s v="RL"/>
    <n v="54"/>
    <n v="100"/>
    <n v="5400"/>
  </r>
  <r>
    <x v="0"/>
    <x v="2"/>
    <s v="S13010489"/>
    <s v="PVC Insulation Tape"/>
    <s v="NOS"/>
    <n v="460"/>
    <n v="7.5223000000000004"/>
    <n v="3480.50596"/>
  </r>
  <r>
    <x v="0"/>
    <x v="2"/>
    <s v="S13010495"/>
    <s v="Battery 9V"/>
    <s v="NOS"/>
    <n v="3"/>
    <n v="15"/>
    <n v="45"/>
  </r>
  <r>
    <x v="0"/>
    <x v="2"/>
    <s v="S13010526"/>
    <s v="Panel Locks"/>
    <s v="NOS"/>
    <n v="100"/>
    <n v="24"/>
    <n v="2400"/>
  </r>
  <r>
    <x v="0"/>
    <x v="2"/>
    <s v="S13010551"/>
    <s v="Cotton Tape"/>
    <s v="NOS"/>
    <n v="1"/>
    <n v="25"/>
    <n v="25"/>
  </r>
  <r>
    <x v="0"/>
    <x v="2"/>
    <s v="S13010561"/>
    <s v="SWG F-Class Insulation Copper Winding Wire 24"/>
    <s v="KG"/>
    <n v="1.4"/>
    <n v="1198.3610000000001"/>
    <n v="1677.7050200000001"/>
  </r>
  <r>
    <x v="0"/>
    <x v="2"/>
    <s v="S13010562"/>
    <s v="varnish Dr. Bech"/>
    <s v="LTR"/>
    <n v="4"/>
    <n v="235.833"/>
    <n v="943.33331999999996"/>
  </r>
  <r>
    <x v="0"/>
    <x v="2"/>
    <s v="S13010567"/>
    <s v="1 MM FIBRE GLASS SLEEVE CLASS-H"/>
    <s v="NOS"/>
    <n v="11"/>
    <n v="3.25"/>
    <n v="35.5"/>
  </r>
  <r>
    <x v="0"/>
    <x v="2"/>
    <s v="S13010568"/>
    <s v="2 MM FIBRE GLASS SLEEVE CLASS-H"/>
    <s v="NOS"/>
    <n v="6"/>
    <n v="4.5999999999999996"/>
    <n v="27.6"/>
  </r>
  <r>
    <x v="0"/>
    <x v="2"/>
    <s v="S13010569"/>
    <s v="3 MM FIBRE GLASS SLEEVE CLASS-H"/>
    <s v="NOS"/>
    <n v="8"/>
    <n v="5.2"/>
    <n v="41.6"/>
  </r>
  <r>
    <x v="0"/>
    <x v="2"/>
    <s v="S13010665"/>
    <s v="9HP MOTOR RESISTANCE BOX 4 STAGE : - RV-185, RA-21.7"/>
    <s v="NOS"/>
    <n v="2"/>
    <n v="27660.210999999999"/>
    <n v="55320.42254"/>
  </r>
  <r>
    <x v="0"/>
    <x v="2"/>
    <s v="S13010797"/>
    <s v="MOTOR COOLING FAN,AUX HOIST MOTOR,LADDLE CRANE, ID-90 MM,THICKNESS-57 MM,COLAR-80 MM,DIA -400 MM"/>
    <s v="NOS"/>
    <n v="1"/>
    <n v="10525.512000000001"/>
    <n v="10525.51175"/>
  </r>
  <r>
    <x v="0"/>
    <x v="2"/>
    <s v="S13010925"/>
    <s v="DE HOUSING COVER, MOTOR 9.3 KW/12.5 HP, 2880 RPM, TYPE : 325PH125, MAKE-AJAY"/>
    <s v="NOS"/>
    <n v="2"/>
    <n v="5367.2984999999999"/>
    <n v="10734.597019999999"/>
  </r>
  <r>
    <x v="0"/>
    <x v="2"/>
    <s v="S13010926"/>
    <s v="NDE HOUSING COVER, MOTOR 9.3 KW/12.5 HP, 2880 RPM, TYPE : 325PH125, MAKE-AJAY"/>
    <s v="NOS"/>
    <n v="2"/>
    <n v="2995.7015000000001"/>
    <n v="5991.4029799999998"/>
  </r>
  <r>
    <x v="0"/>
    <x v="2"/>
    <s v="S13010957"/>
    <s v="COOLER MOTOR, SINGLE PHASE 220/240 VAC,0.80 AMPS, WATTS 70/80, 1400 RPM"/>
    <s v="NOS"/>
    <n v="1"/>
    <n v="800"/>
    <n v="800"/>
  </r>
  <r>
    <x v="0"/>
    <x v="2"/>
    <s v="S13020005"/>
    <s v="Analog time switch m/1 quartz type :QT (DAILY) VOLTAGE:240V AC  CONTACT RATING : 16A/250VC"/>
    <s v="NOS"/>
    <n v="7"/>
    <n v="1510.6666666666599"/>
    <n v="10496.00246"/>
  </r>
  <r>
    <x v="0"/>
    <x v="2"/>
    <s v="S13020256"/>
    <s v="CONTACTOR 3TF52, COIL 110 VAC, AC 3 TYPE,"/>
    <s v="NOS"/>
    <n v="1"/>
    <n v="17279.218000000001"/>
    <n v="17279.218250000002"/>
  </r>
  <r>
    <x v="0"/>
    <x v="2"/>
    <s v="S13020259"/>
    <s v="CONTACTOR 3TF48, COIL 110 VAC, AC 3 TYPE,"/>
    <s v="NOS"/>
    <n v="1"/>
    <n v="8562.7720000000008"/>
    <n v="8562.7720800000006"/>
  </r>
  <r>
    <x v="0"/>
    <x v="2"/>
    <s v="S13020260"/>
    <s v="CONTACTOR 3TF47, COIL 110 VAC, AC 3 TYPE,"/>
    <s v="NOS"/>
    <n v="1"/>
    <n v="6718.4219999999996"/>
    <n v="6718.4221200000002"/>
  </r>
  <r>
    <x v="0"/>
    <x v="2"/>
    <s v="S13020261"/>
    <s v="CONTACTOR 3TF35, COIL 110 VAC, AC 3 TYPE,"/>
    <s v="NOS"/>
    <n v="6"/>
    <n v="5067.3999999999996"/>
    <n v="30404.402880000001"/>
  </r>
  <r>
    <x v="0"/>
    <x v="2"/>
    <s v="S13020262"/>
    <s v="CONTACTOR 3TF34, COIL 110 VAC, AC 3 TYPE,"/>
    <s v="NOS"/>
    <n v="3"/>
    <n v="3494.8229999999999"/>
    <n v="10484.46825"/>
  </r>
  <r>
    <x v="0"/>
    <x v="2"/>
    <s v="S13020290"/>
    <s v="AUXILLARY CONTACTOR - 3RH2122-1AP00, COIL 230 VAC,"/>
    <s v="NOS"/>
    <n v="2"/>
    <n v="559.96"/>
    <n v="1119.92"/>
  </r>
  <r>
    <x v="0"/>
    <x v="2"/>
    <s v="S13020298"/>
    <s v="POWER CONTACTOR - 3TF34, COIL 220V AC, AC3 TYPE"/>
    <s v="NOS"/>
    <n v="3"/>
    <n v="3494.8229999999999"/>
    <n v="10484.46825"/>
  </r>
  <r>
    <x v="0"/>
    <x v="2"/>
    <s v="S13020299"/>
    <s v="POWER CONTACTOR - 3TF50, COIL 220 VAC, AC3 TYPE"/>
    <s v="NOS"/>
    <n v="1"/>
    <n v="16934.787"/>
    <n v="16934.787069999998"/>
  </r>
  <r>
    <x v="0"/>
    <x v="2"/>
    <s v="S13020310"/>
    <s v="STAR DELTA TIMER - 800S, COIL 230 VAC, MAKE - SELEC"/>
    <s v="NOS"/>
    <n v="2"/>
    <n v="450"/>
    <n v="900"/>
  </r>
  <r>
    <x v="0"/>
    <x v="2"/>
    <s v="S13020325"/>
    <s v="MCCB, 3VM1163-4EE32-0AA0, RANGE-44A TO 63A"/>
    <s v="NOS"/>
    <n v="1"/>
    <n v="5597.2359999999999"/>
    <n v="5597.2364500000003"/>
  </r>
  <r>
    <x v="0"/>
    <x v="2"/>
    <s v="S13020326"/>
    <s v="MCCB, 3VM1116-4EE32-0AA0, RANGE-112A TO 160A"/>
    <s v="NOS"/>
    <n v="1"/>
    <n v="11829.6"/>
    <n v="11829.6"/>
  </r>
  <r>
    <x v="0"/>
    <x v="2"/>
    <s v="S13020327"/>
    <s v="MCCB, 3VM1225-4EE32-0AA0, RANGE-175A TO 250A"/>
    <s v="NOS"/>
    <n v="2"/>
    <n v="19333.889500000001"/>
    <n v="38667.779020000002"/>
  </r>
  <r>
    <x v="0"/>
    <x v="2"/>
    <s v="S13020329"/>
    <s v="EATON BUSSMANN SERIES, 200LMT, 200A BOLTED TAG FUSE"/>
    <s v="NOS"/>
    <n v="11"/>
    <n v="689"/>
    <n v="7579"/>
  </r>
  <r>
    <x v="0"/>
    <x v="2"/>
    <s v="S13020334"/>
    <s v="MCB 2P ,16A,10KA"/>
    <s v="NOS"/>
    <n v="4"/>
    <n v="345"/>
    <n v="1380"/>
  </r>
  <r>
    <x v="0"/>
    <x v="2"/>
    <s v="S13020353"/>
    <s v="AUXILIARY CONTACTOR 4 POLE, 1 NO, COIL VOL 110 VAC"/>
    <s v="NOS"/>
    <n v="1"/>
    <n v="585.9"/>
    <n v="585.9"/>
  </r>
  <r>
    <x v="0"/>
    <x v="2"/>
    <s v="S13020369"/>
    <s v="CONTACTOR 3TF46, COIL 110 VAC, AC 3 TYPE"/>
    <s v="NOS"/>
    <n v="1"/>
    <n v="4638"/>
    <n v="4638"/>
  </r>
  <r>
    <x v="0"/>
    <x v="2"/>
    <s v="S13020421"/>
    <s v="ON PUSH BUTTON , GREEN,240 V AC, MODEL NO-2AF3"/>
    <s v="NOS"/>
    <n v="2"/>
    <n v="79.8"/>
    <n v="159.6"/>
  </r>
  <r>
    <x v="0"/>
    <x v="2"/>
    <s v="S13020422"/>
    <s v="OFF PUSH BUTTON , RED, 240 V AC, MODEL N0-2AF"/>
    <s v="NOS"/>
    <n v="8"/>
    <n v="58.552"/>
    <n v="468.41264000000001"/>
  </r>
  <r>
    <x v="0"/>
    <x v="2"/>
    <s v="S13020610"/>
    <s v="OVER LOAD RELAY PN NO : 3UW50 02-0K, 660V,0.8-1.25A"/>
    <s v="NOS"/>
    <n v="2"/>
    <n v="1546.6"/>
    <n v="3093.2"/>
  </r>
  <r>
    <x v="0"/>
    <x v="2"/>
    <s v="S13060007"/>
    <s v="Copper flexible cable 1.5 sqmm X 1 Core, Color : Red, 90 mtrs"/>
    <s v="COI"/>
    <n v="2"/>
    <n v="1458"/>
    <n v="2916"/>
  </r>
  <r>
    <x v="0"/>
    <x v="2"/>
    <s v="S13060010"/>
    <s v="Copper Flexible Cable 1.5 sqmm X 1 Core, Color : Black, 90 mtrs"/>
    <s v="COI"/>
    <n v="1"/>
    <n v="1433.173"/>
    <n v="1433.1733300000001"/>
  </r>
  <r>
    <x v="0"/>
    <x v="2"/>
    <s v="S13060040"/>
    <s v="4sqmm X 4 core Copper flexible cable 90 mtrs coil"/>
    <s v="COI"/>
    <n v="1"/>
    <n v="15532.598"/>
    <n v="15532.598190000001"/>
  </r>
  <r>
    <x v="0"/>
    <x v="2"/>
    <s v="S13060041"/>
    <s v="COPPER FLEXIBLE cable, 1.5 SQ MM X 2 CORE 90 Mtr"/>
    <s v="COI"/>
    <n v="2"/>
    <n v="3950.0830000000001"/>
    <n v="7900.1651400000001"/>
  </r>
  <r>
    <x v="0"/>
    <x v="2"/>
    <s v="S13060060"/>
    <s v="COPPER CABLE ARMOURED, 1.1KV, 4 CORE, 2.5 SQMM, XLPE"/>
    <s v="MTR"/>
    <n v="400"/>
    <n v="126.3"/>
    <n v="51860"/>
  </r>
  <r>
    <x v="0"/>
    <x v="2"/>
    <s v="S13060066"/>
    <s v="COPPER CABLE UN-ARMOURED, 1.1KV, 1 CORE, 120 SQMM, XLPE"/>
    <s v="MTR"/>
    <n v="120"/>
    <n v="1382.9849999999999"/>
    <n v="165958.158"/>
  </r>
  <r>
    <x v="0"/>
    <x v="2"/>
    <s v="S13060452"/>
    <s v="COMPENSATING CABLE FOR TYPE-R/S THERMOCOUPLE TEFLON /FIBREGLASS (HT) 2C X 1.5 SQMM"/>
    <s v="MTR"/>
    <n v="200"/>
    <n v="88.75"/>
    <n v="17750"/>
  </r>
  <r>
    <x v="0"/>
    <x v="2"/>
    <s v="S13060464"/>
    <s v="COPPER FLEXIBLE CABLE  3C X 2.5 SQ.MM"/>
    <s v="MTR"/>
    <n v="70"/>
    <n v="76.843000000000004"/>
    <n v="5379.0181000000002"/>
  </r>
  <r>
    <x v="0"/>
    <x v="2"/>
    <s v="S13060468"/>
    <s v="TEFLON COATED SCREEN CABLE - 4 CORE X 1.5 SQ MM"/>
    <s v="MTR"/>
    <n v="104"/>
    <n v="222.19200000000001"/>
    <n v="23108"/>
  </r>
  <r>
    <x v="0"/>
    <x v="2"/>
    <s v="S13060496"/>
    <s v="COPPER FLEXIBLE CABLE 4C X 2.5 SQMM"/>
    <s v="MTR"/>
    <n v="100"/>
    <n v="100.861"/>
    <n v="10086.102440000001"/>
  </r>
  <r>
    <x v="0"/>
    <x v="2"/>
    <s v="S13060609"/>
    <s v="COMPENSATING CABLE NEOPRENE FLEXIBLE 1.5 SQMM X 2CORE FOR R/S THERMOCOUPLE"/>
    <s v="MTR"/>
    <n v="100"/>
    <n v="76.75"/>
    <n v="7675"/>
  </r>
  <r>
    <x v="0"/>
    <x v="2"/>
    <s v="S13060640"/>
    <s v="COPPER FIBER GLASS CABLE ,1C X 2.5 SQMM."/>
    <s v="MTR"/>
    <n v="5"/>
    <n v="25"/>
    <n v="125"/>
  </r>
  <r>
    <x v="0"/>
    <x v="2"/>
    <s v="S13060646"/>
    <s v="HOFR EPR RUBBER INSULATED BRAIDED COPPER CABLE 2C X 25SQ.MM"/>
    <s v="MTR"/>
    <n v="100"/>
    <n v="1021.769"/>
    <n v="102176.9025"/>
  </r>
  <r>
    <x v="0"/>
    <x v="2"/>
    <s v="S13070501"/>
    <s v="INDUSTRIAL EXHAUST FAN 24'"/>
    <s v="NOS"/>
    <n v="2"/>
    <n v="17275"/>
    <n v="34550"/>
  </r>
  <r>
    <x v="0"/>
    <x v="2"/>
    <s v="S13070522"/>
    <s v="PANEL COOLING FAN,REC-21725 A2W,220-240V AC,0.19A,50HZ,RPM-1500"/>
    <s v="NOS"/>
    <n v="3"/>
    <n v="633.27200000000005"/>
    <n v="1899.81522"/>
  </r>
  <r>
    <x v="0"/>
    <x v="2"/>
    <s v="S13070525"/>
    <s v="EXHAUST FAN, 15' SINGLE PHASE, 90W,1400RPM,"/>
    <s v="NOS"/>
    <n v="1"/>
    <n v="3064"/>
    <n v="3064"/>
  </r>
  <r>
    <x v="0"/>
    <x v="2"/>
    <s v="S13100490"/>
    <s v="GLASS TAPE 2 INCH"/>
    <s v="NOS"/>
    <n v="36"/>
    <n v="154.06700000000001"/>
    <n v="5546.4260400000003"/>
  </r>
  <r>
    <x v="0"/>
    <x v="2"/>
    <s v="S13100503"/>
    <s v="SELF-ADHESIVE 30*15 MM (W*D) -POLYURETHANE D TYPE PU FOAM GASKETS"/>
    <s v="MTR"/>
    <n v="20"/>
    <n v="19"/>
    <n v="380"/>
  </r>
  <r>
    <x v="0"/>
    <x v="2"/>
    <s v="S13100505"/>
    <s v="BECKTOL RED INSULATING VARNISH ( DR.BECK)"/>
    <s v="KG"/>
    <n v="3"/>
    <n v="356.47199999999998"/>
    <n v="1069.4154900000001"/>
  </r>
  <r>
    <x v="0"/>
    <x v="2"/>
    <s v="S13110001"/>
    <s v="1.5 V   A A  BATTERY"/>
    <s v="NOS"/>
    <n v="12"/>
    <n v="17"/>
    <n v="204"/>
  </r>
  <r>
    <x v="0"/>
    <x v="2"/>
    <s v="S13110002"/>
    <s v="1.5 V   A A A   BATTERY"/>
    <s v="NOS"/>
    <n v="6"/>
    <n v="17"/>
    <n v="102"/>
  </r>
  <r>
    <x v="0"/>
    <x v="2"/>
    <s v="S13120001"/>
    <s v="Copper Ring Type Lugs 35 sqmm"/>
    <s v="NOS"/>
    <n v="12"/>
    <n v="29.606000000000002"/>
    <n v="355.27440000000001"/>
  </r>
  <r>
    <x v="0"/>
    <x v="2"/>
    <s v="S13120014"/>
    <s v="CABLE LUGS RING TYPE, COPPER 95 SQMM, 12.7MM, DOWELL"/>
    <s v="NOS"/>
    <n v="12"/>
    <n v="56.704999999999998"/>
    <n v="680.4624"/>
  </r>
  <r>
    <x v="0"/>
    <x v="2"/>
    <s v="S13120054"/>
    <s v="CADMIUM WHITE BOLT 6X25 WITH NUT, 1 SPRING WASHERS AND 2 PLAIN WASHERS"/>
    <s v="NOS"/>
    <n v="30"/>
    <n v="3.617"/>
    <n v="108.5175"/>
  </r>
  <r>
    <x v="0"/>
    <x v="2"/>
    <s v="S13120055"/>
    <s v="CADMIUM WHITE BOLT 6X50 WITH NUT, 1 SPRING WASHERS AND 2 PLAIN WASHERS"/>
    <s v="NOS"/>
    <n v="5"/>
    <n v="3.5990000000000002"/>
    <n v="17.993919999999999"/>
  </r>
  <r>
    <x v="0"/>
    <x v="2"/>
    <s v="S13120056"/>
    <s v="CADMIUM WHITE BOLT 6X75 WITH NUT, 1 SPRING WASHERS AND 2 PLAIN WASHERS"/>
    <s v="NOS"/>
    <n v="5"/>
    <n v="4.37"/>
    <n v="21.849599999999999"/>
  </r>
  <r>
    <x v="0"/>
    <x v="2"/>
    <s v="S13120058"/>
    <s v="CADMIUM WHITE BOLT 8X50 WITH NUT, 1 SPRING WASHERS AND 2 PLAIN WASHERS"/>
    <s v="NOS"/>
    <n v="20"/>
    <n v="6.1959999999999997"/>
    <n v="123.9298"/>
  </r>
  <r>
    <x v="0"/>
    <x v="2"/>
    <s v="S13120092"/>
    <s v="4 WAY, LIGHTING DOUBLE DOOR DISTRIBUTION BOARD, JUNCTION BOX, METAL"/>
    <s v="NOS"/>
    <n v="2"/>
    <n v="900"/>
    <n v="1800"/>
  </r>
  <r>
    <x v="0"/>
    <x v="2"/>
    <s v="S13120145"/>
    <s v="BCH TIMER COIL 110 VAC - 0.5 TO 60 SEC"/>
    <s v="NOS"/>
    <n v="8"/>
    <n v="4509.1706666666596"/>
    <n v="35965.023399999998"/>
  </r>
  <r>
    <x v="0"/>
    <x v="2"/>
    <s v="S13120147"/>
    <s v="CARBON BRUSH CBC MC 70 Z0075  SIZE - 10 X 20 MM"/>
    <s v="NOS"/>
    <n v="18"/>
    <n v="115"/>
    <n v="2070"/>
  </r>
  <r>
    <x v="0"/>
    <x v="2"/>
    <s v="S13120148"/>
    <s v="CARBON BRUSH CBC MC 70 Z0096  SIZE - 16 X 32 MM"/>
    <s v="NOS"/>
    <n v="12"/>
    <n v="243.529"/>
    <n v="2922.3529199999998"/>
  </r>
  <r>
    <x v="0"/>
    <x v="2"/>
    <s v="S13120152"/>
    <s v="COPPER LUG 'U' TYPE - 2.5 SQ.MM"/>
    <s v="NOS"/>
    <n v="40"/>
    <n v="1.7549999999999999"/>
    <n v="70.2"/>
  </r>
  <r>
    <x v="0"/>
    <x v="2"/>
    <s v="S13120157"/>
    <s v="CTC SPRAY"/>
    <s v="NOS"/>
    <n v="1"/>
    <n v="190.76499999999999"/>
    <n v="190.76492999999999"/>
  </r>
  <r>
    <x v="0"/>
    <x v="2"/>
    <s v="S13120158"/>
    <s v="MCB 16 AMP C TYPE 4 POLE"/>
    <s v="NOS"/>
    <n v="1"/>
    <n v="773.03599999999994"/>
    <n v="773.03571999999997"/>
  </r>
  <r>
    <x v="0"/>
    <x v="2"/>
    <s v="S13120159"/>
    <s v="MCB 16 AMP C TYPE 3 POLE"/>
    <s v="NOS"/>
    <n v="2"/>
    <n v="584.74"/>
    <n v="1169.48"/>
  </r>
  <r>
    <x v="0"/>
    <x v="2"/>
    <s v="S13120161"/>
    <s v="COPPER LUG RING TYPE - 35 SQ.MM (DIA 10 MM OR 12 MM)"/>
    <s v="NOS"/>
    <n v="10"/>
    <n v="19.536999999999999"/>
    <n v="195.37200000000001"/>
  </r>
  <r>
    <x v="0"/>
    <x v="2"/>
    <s v="S13120165"/>
    <s v="COPPER LUG RING TYPE - 2.5 SQ.MM"/>
    <s v="NOS"/>
    <n v="50"/>
    <n v="3.677"/>
    <n v="183.87"/>
  </r>
  <r>
    <x v="0"/>
    <x v="2"/>
    <s v="S13120174"/>
    <s v="THRUSTER HYD.080/06.CD.42.SS.AU.ZN.W3, MAKE : GALVI"/>
    <s v="NOS"/>
    <n v="1"/>
    <n v="40327.877"/>
    <n v="40327.876660000002"/>
  </r>
  <r>
    <x v="0"/>
    <x v="2"/>
    <s v="S13120175"/>
    <s v="MASTER CONTROLLER MSC-2000/10, MAKE : KAKKU"/>
    <s v="NOS"/>
    <n v="1"/>
    <n v="28355.121999999999"/>
    <n v="28355.122220000001"/>
  </r>
  <r>
    <x v="0"/>
    <x v="2"/>
    <s v="S13120193"/>
    <s v="ROOM HEATER 1000 WATT 230 V"/>
    <s v="NOS"/>
    <n v="5"/>
    <n v="650"/>
    <n v="3250"/>
  </r>
  <r>
    <x v="0"/>
    <x v="2"/>
    <s v="S13120248"/>
    <s v="MINI MOTOR SIREN , MODEL NO: MS-190, COIL VOLTAGE 220 VAC,"/>
    <s v="NOS"/>
    <n v="1"/>
    <n v="475"/>
    <n v="475"/>
  </r>
  <r>
    <x v="0"/>
    <x v="2"/>
    <s v="S13120250"/>
    <s v="ARMATURE FOR AG-4 GRINDING MACHINE"/>
    <s v="NOS"/>
    <n v="1"/>
    <n v="436.62799999999999"/>
    <n v="436.62790999999999"/>
  </r>
  <r>
    <x v="0"/>
    <x v="2"/>
    <s v="S13120259"/>
    <s v="CARBON BRUSH FOR AG-7 HAND GRINDER"/>
    <s v="NOS"/>
    <n v="1"/>
    <n v="219.24"/>
    <n v="219.23965999999999"/>
  </r>
  <r>
    <x v="0"/>
    <x v="2"/>
    <s v="S13120271"/>
    <s v="SINGLE PHASE PREVENTER, SM-301, 415VAC, 47HZ TO 63HZ"/>
    <s v="NOS"/>
    <n v="1"/>
    <n v="732.1"/>
    <n v="732.1"/>
  </r>
  <r>
    <x v="0"/>
    <x v="2"/>
    <s v="S13120278"/>
    <s v="ELMEX CST CONNECTOR, CST-2.5"/>
    <s v="NOS"/>
    <n v="20"/>
    <n v="8"/>
    <n v="160"/>
  </r>
  <r>
    <x v="0"/>
    <x v="2"/>
    <s v="S13120280"/>
    <s v="ELMEX CST CONNECTOR, CST-6"/>
    <s v="NOS"/>
    <n v="20"/>
    <n v="17.352"/>
    <n v="347.04899999999998"/>
  </r>
  <r>
    <x v="0"/>
    <x v="2"/>
    <s v="S13120281"/>
    <s v="ELMEX CST CONNECTOR, CST-16"/>
    <s v="NOS"/>
    <n v="20"/>
    <n v="22.777000000000001"/>
    <n v="455.5378"/>
  </r>
  <r>
    <x v="0"/>
    <x v="2"/>
    <s v="S13120282"/>
    <s v="ELMEX CST CONNECTOR, CST-10"/>
    <s v="NOS"/>
    <n v="20"/>
    <n v="13.864000000000001"/>
    <n v="277.28379999999999"/>
  </r>
  <r>
    <x v="0"/>
    <x v="2"/>
    <s v="S13120283"/>
    <s v="ELMEX CST CONNECTOR, CST-25"/>
    <s v="NOS"/>
    <n v="20"/>
    <n v="34.659999999999997"/>
    <n v="693.20979999999997"/>
  </r>
  <r>
    <x v="0"/>
    <x v="2"/>
    <s v="S13120294"/>
    <s v="TWO POSITION SELECTOR SWITCH"/>
    <s v="NOS"/>
    <n v="3"/>
    <n v="165"/>
    <n v="495"/>
  </r>
  <r>
    <x v="0"/>
    <x v="2"/>
    <s v="S13120304"/>
    <s v="MODULAR PLATE, MODULAR 2M PLATE WITH INNER FRAME WHITE"/>
    <s v="NOS"/>
    <n v="2"/>
    <n v="93.75"/>
    <n v="187.5"/>
  </r>
  <r>
    <x v="0"/>
    <x v="2"/>
    <s v="S13120305"/>
    <s v="MCB CHANNEL DIN RAIL"/>
    <s v="NOS"/>
    <n v="6"/>
    <n v="46.942666666666597"/>
    <n v="281.65517999999997"/>
  </r>
  <r>
    <x v="0"/>
    <x v="2"/>
    <s v="S13120309"/>
    <s v="Auxiliary Contact Block NO 3TX4010-2A"/>
    <s v="NOS"/>
    <n v="20"/>
    <n v="111.3"/>
    <n v="2226"/>
  </r>
  <r>
    <x v="0"/>
    <x v="2"/>
    <s v="S13120310"/>
    <s v="Auxiliary Contact Block NC 3TX4001-2A"/>
    <s v="NOS"/>
    <n v="14"/>
    <n v="111.3"/>
    <n v="1558.2"/>
  </r>
  <r>
    <x v="0"/>
    <x v="2"/>
    <s v="S13120322"/>
    <s v="MCB DISTRIBUTION BOX  12 WAY,  DOUBLE DOOR"/>
    <s v="NOS"/>
    <n v="2"/>
    <n v="455"/>
    <n v="910"/>
  </r>
  <r>
    <x v="0"/>
    <x v="2"/>
    <s v="S13120337"/>
    <s v="LED FLOOD LIGHT 200 WATT"/>
    <s v="NOS"/>
    <n v="1"/>
    <n v="1592.3440000000001"/>
    <n v="1592.3444099999999"/>
  </r>
  <r>
    <x v="0"/>
    <x v="2"/>
    <s v="S13120372"/>
    <s v="INDICATION LAMP 240 VAC RED"/>
    <s v="NOS"/>
    <n v="5"/>
    <n v="68"/>
    <n v="326"/>
  </r>
  <r>
    <x v="0"/>
    <x v="2"/>
    <s v="S13120373"/>
    <s v="INDICATION LAMP 240 VAC YELLOW"/>
    <s v="NOS"/>
    <n v="1"/>
    <n v="100"/>
    <n v="100"/>
  </r>
  <r>
    <x v="0"/>
    <x v="2"/>
    <s v="S13120374"/>
    <s v="INDICATION LAMP 240 VAC BLUE"/>
    <s v="NOS"/>
    <n v="1"/>
    <n v="172.2"/>
    <n v="172.2"/>
  </r>
  <r>
    <x v="0"/>
    <x v="2"/>
    <s v="S13120375"/>
    <s v="INDICATION LAMP 240 VAC GREEN"/>
    <s v="NOS"/>
    <n v="2"/>
    <n v="100"/>
    <n v="200"/>
  </r>
  <r>
    <x v="0"/>
    <x v="2"/>
    <s v="S13120385"/>
    <s v="PENDANT, PLASTIC , 12 WAY-EMERGENCY-MAIN ON- UP-DOWN-LEFT-RIGHT-FORWARD-REVERSE-SELECTOR S"/>
    <s v="NOS"/>
    <n v="1"/>
    <n v="2645.299"/>
    <n v="2645.29943"/>
  </r>
  <r>
    <x v="0"/>
    <x v="2"/>
    <s v="S13120409"/>
    <s v="LUG COPPER, SNAP ON TYPE TERMINAL, 1.5 SQ MM"/>
    <s v="NOS"/>
    <n v="10"/>
    <n v="1.5"/>
    <n v="15"/>
  </r>
  <r>
    <x v="0"/>
    <x v="2"/>
    <s v="S13120418"/>
    <s v="RTD TEMP. TRANSMITTER, PT100, RANGE: -10 TO 400 °C, DIA-4MM LENGTH-300 MM"/>
    <s v="NOS"/>
    <n v="7"/>
    <n v="2090.6666666666601"/>
    <n v="14634"/>
  </r>
  <r>
    <x v="0"/>
    <x v="2"/>
    <s v="S13120473"/>
    <s v="REMOTE CONTROL PENDANT WITH INDICATION LAMP,240 VAC,TYPE- PUSH BUTTON STATION,MODEL NO EP3FAUI1X0201"/>
    <s v="NOS"/>
    <n v="1"/>
    <n v="633"/>
    <n v="633"/>
  </r>
  <r>
    <x v="0"/>
    <x v="2"/>
    <s v="S13120500"/>
    <s v="DIGITAL KWH METER, MODEL: 7KT0310"/>
    <s v="NOS"/>
    <n v="5"/>
    <n v="6400.35"/>
    <n v="32001.75"/>
  </r>
  <r>
    <x v="0"/>
    <x v="2"/>
    <s v="S13120512"/>
    <s v="MULTIFUNCTION ELECTRONIC TIMER RELAY, MODEL: 7PV0723-1AZ20, VOL: 12-240V AC/DC"/>
    <s v="NOS"/>
    <n v="7"/>
    <n v="1135.2"/>
    <n v="7946.4"/>
  </r>
  <r>
    <x v="0"/>
    <x v="2"/>
    <s v="S13120526"/>
    <s v="LOAD CELL,MODEL NO CZL803-M,CAP 750KG,ACC 0.02%F.S FOR WEIGHING MACHINE,PLATFORM SIZE 1200X1200 MM"/>
    <s v="NOS"/>
    <n v="3"/>
    <n v="1485"/>
    <n v="4455"/>
  </r>
  <r>
    <x v="0"/>
    <x v="2"/>
    <s v="S13120532"/>
    <s v="CRANE REMOTE PENDANT PUSH BUTTON, WHITE HEAD"/>
    <s v="NOS"/>
    <n v="5"/>
    <n v="90.62"/>
    <n v="453.10171000000003"/>
  </r>
  <r>
    <x v="0"/>
    <x v="2"/>
    <s v="S13120628"/>
    <s v="LED INDICATION LAMP 42-240V AC/DC, RED"/>
    <s v="NOS"/>
    <n v="3"/>
    <n v="58.182000000000002"/>
    <n v="174.54599999999999"/>
  </r>
  <r>
    <x v="0"/>
    <x v="2"/>
    <s v="S13120629"/>
    <s v="LED INDICATION LAMP 42-240V AC/DC, YELLOW"/>
    <s v="NOS"/>
    <n v="6"/>
    <n v="58.182000000000002"/>
    <n v="349.09"/>
  </r>
  <r>
    <x v="0"/>
    <x v="2"/>
    <s v="S13120630"/>
    <s v="LED INDICATION LAMP 42-240V AC/DC, BLUE"/>
    <s v="NOS"/>
    <n v="5"/>
    <n v="155"/>
    <n v="775"/>
  </r>
  <r>
    <x v="0"/>
    <x v="2"/>
    <s v="S13120654"/>
    <s v="U-SHAPE FINNED TUBULAR HEATING ELEMENTS WITH TERMINAL PINS,1KW,415V,TUBE DIA:11MM,LENGTH:450+/-10MM"/>
    <s v="NOS"/>
    <n v="7"/>
    <n v="481.95"/>
    <n v="3373.65"/>
  </r>
  <r>
    <x v="0"/>
    <x v="2"/>
    <s v="S13120655"/>
    <s v="U-SHAPE FINNED TUBULAR HEATING ELEMENTS WITH TERMINAL PINS,1KW,415V,TUBE DIA:11MM,LENGTH:350+/-10MM"/>
    <s v="NOS"/>
    <n v="7"/>
    <n v="589.04999999999995"/>
    <n v="4123.3500000000004"/>
  </r>
  <r>
    <x v="0"/>
    <x v="2"/>
    <s v="S13150559"/>
    <s v="MICOM P127:MODEL, FAULT PROTECTION RELAYS, VOL-24TO 240 VAC"/>
    <s v="NOS"/>
    <n v="1"/>
    <n v="56500"/>
    <n v="56500"/>
  </r>
  <r>
    <x v="0"/>
    <x v="2"/>
    <s v="S13160001"/>
    <s v="AG4 Grinding machine carbon brush"/>
    <s v="NOS"/>
    <n v="6"/>
    <n v="84.548000000000002"/>
    <n v="505.10854999999998"/>
  </r>
  <r>
    <x v="0"/>
    <x v="2"/>
    <s v="S13240008"/>
    <s v="L.T REVERSE FORWARD SWITCH, 32 AMP, 3 PHASE"/>
    <s v="NOS"/>
    <n v="1"/>
    <n v="979"/>
    <n v="979"/>
  </r>
  <r>
    <x v="0"/>
    <x v="2"/>
    <s v="S13240076"/>
    <s v="POWER CONTACTOR 50AMP 3RT2036 -1A, COIL VOLT-230VAC,AC-3 ,WITH AUXILIARY CONTACTS 2 NO+2 NC DRIVE"/>
    <s v="NOS"/>
    <n v="1"/>
    <n v="6099.9390000000003"/>
    <n v="6099.9387500000003"/>
  </r>
  <r>
    <x v="0"/>
    <x v="2"/>
    <s v="S13240077"/>
    <s v="POWER CONTACTOR 16AMP 3RT2018 -1A, COIL VOLT-230VAC ,AC-3,WITH AUXILIARY CONTACTS 2 NO + 2 NC DRIVE"/>
    <s v="NOS"/>
    <n v="4"/>
    <n v="1407.556"/>
    <n v="5630.2252399999998"/>
  </r>
  <r>
    <x v="0"/>
    <x v="2"/>
    <s v="S13240114"/>
    <s v="RCCB, 4 POLE, 63A, 30mA"/>
    <s v="NOS"/>
    <n v="1"/>
    <n v="1955.94"/>
    <n v="1955.94"/>
  </r>
  <r>
    <x v="0"/>
    <x v="2"/>
    <s v="S14010025"/>
    <s v="HAND GLOVES COTTON"/>
    <s v="PRS"/>
    <n v="10"/>
    <n v="10.84"/>
    <n v="108.4"/>
  </r>
  <r>
    <x v="0"/>
    <x v="2"/>
    <s v="S15010042"/>
    <s v="Wire Brush"/>
    <s v="NOS"/>
    <n v="2"/>
    <n v="24.567"/>
    <n v="49.133339999999997"/>
  </r>
  <r>
    <x v="0"/>
    <x v="2"/>
    <s v="S16010224"/>
    <s v="Asbestos rope 3mm"/>
    <s v="KG"/>
    <n v="3"/>
    <n v="200"/>
    <n v="600"/>
  </r>
  <r>
    <x v="0"/>
    <x v="2"/>
    <s v="S16030109"/>
    <s v="TARPAULIN SIZE 30' X 40'"/>
    <s v="NOS"/>
    <n v="1"/>
    <n v="3142.5"/>
    <n v="3084"/>
  </r>
  <r>
    <x v="0"/>
    <x v="2"/>
    <s v="S17010082"/>
    <s v="Electronic Speed Switch"/>
    <s v="NOS"/>
    <n v="1"/>
    <n v="3646"/>
    <n v="3646"/>
  </r>
  <r>
    <x v="0"/>
    <x v="2"/>
    <s v="S18010052"/>
    <s v="Coconut Broom"/>
    <s v="NOS"/>
    <n v="3"/>
    <n v="22"/>
    <n v="66"/>
  </r>
  <r>
    <x v="0"/>
    <x v="2"/>
    <s v="S18010057"/>
    <s v="Smooth Broom"/>
    <s v="NOS"/>
    <n v="5"/>
    <n v="65"/>
    <n v="325"/>
  </r>
  <r>
    <x v="0"/>
    <x v="2"/>
    <s v="S18060001"/>
    <s v="Cotton Waste"/>
    <s v="KG"/>
    <n v="10"/>
    <n v="23.919"/>
    <n v="239.1919"/>
  </r>
  <r>
    <x v="0"/>
    <x v="2"/>
    <s v="S18130290"/>
    <s v="COTTON WASTE (BANIYAN)"/>
    <s v="KG"/>
    <n v="12"/>
    <n v="52.140999999999998"/>
    <n v="625.69560000000001"/>
  </r>
  <r>
    <x v="0"/>
    <x v="2"/>
    <s v="S18130291"/>
    <s v="VACUUM CLEANER ,MODEL : PRO GAS 400 A, MAKE: BOSCH,"/>
    <s v="NOS"/>
    <n v="1"/>
    <n v="39214"/>
    <n v="39214"/>
  </r>
  <r>
    <x v="0"/>
    <x v="2"/>
    <s v="S20010018"/>
    <s v="Bulbs 100w Pin Type"/>
    <s v="NOS"/>
    <n v="12"/>
    <n v="12.75"/>
    <n v="153"/>
  </r>
  <r>
    <x v="0"/>
    <x v="2"/>
    <s v="S20010041"/>
    <s v="Pendant holders"/>
    <s v="NOS"/>
    <n v="10"/>
    <n v="23.36"/>
    <n v="233.6"/>
  </r>
  <r>
    <x v="0"/>
    <x v="2"/>
    <s v="S20010044"/>
    <s v="Pin Type Led Bulbs 12w"/>
    <s v="NOS"/>
    <n v="1"/>
    <n v="60.8"/>
    <n v="60.8"/>
  </r>
  <r>
    <x v="0"/>
    <x v="2"/>
    <s v="S20010052"/>
    <s v="100W LED Flood light"/>
    <s v="NOS"/>
    <n v="14"/>
    <n v="1023.7364"/>
    <n v="15049.9105"/>
  </r>
  <r>
    <x v="0"/>
    <x v="2"/>
    <s v="S20010071"/>
    <s v="LED BATTEN TUBE LIGHT, 20W"/>
    <s v="NOS"/>
    <n v="11"/>
    <n v="90.090999999999994"/>
    <n v="991.00000999999997"/>
  </r>
  <r>
    <x v="0"/>
    <x v="2"/>
    <s v="S20010072"/>
    <s v="LED STREET LIGHT, 100W"/>
    <s v="NOS"/>
    <n v="2"/>
    <n v="875.13400000000001"/>
    <n v="1750.26746"/>
  </r>
  <r>
    <x v="0"/>
    <x v="2"/>
    <s v="S20010073"/>
    <s v="LED HIGHBAY 200W, IP65"/>
    <s v="NOS"/>
    <n v="17"/>
    <n v="2763.8164999999999"/>
    <n v="46414.142399999997"/>
  </r>
  <r>
    <x v="0"/>
    <x v="2"/>
    <s v="S22010245"/>
    <s v="CRC Spray 2-26"/>
    <s v="NOS"/>
    <n v="4"/>
    <n v="298.77625"/>
    <n v="1195.10483"/>
  </r>
  <r>
    <x v="0"/>
    <x v="2"/>
    <s v="S25010288"/>
    <s v="BEARING 6306 ZZ"/>
    <s v="NOS"/>
    <n v="3"/>
    <n v="392.22899999999998"/>
    <n v="1176.6876299999999"/>
  </r>
  <r>
    <x v="0"/>
    <x v="2"/>
    <s v="S25010289"/>
    <s v="BEARING 6308 ZZ"/>
    <s v="NOS"/>
    <n v="2"/>
    <n v="528.35"/>
    <n v="1056.69994"/>
  </r>
  <r>
    <x v="0"/>
    <x v="2"/>
    <s v="S25010320"/>
    <s v="DEEP GROOVE BALL BEARING 6206 2Z"/>
    <s v="NOS"/>
    <n v="2"/>
    <n v="296.00700000000001"/>
    <n v="592.01368000000002"/>
  </r>
  <r>
    <x v="0"/>
    <x v="2"/>
    <s v="S25010426"/>
    <s v="BEARING 6313 ZZ C3"/>
    <s v="NOS"/>
    <n v="2"/>
    <n v="1996.84"/>
    <n v="3993.68"/>
  </r>
  <r>
    <x v="0"/>
    <x v="2"/>
    <s v="S26010026"/>
    <s v="Temperature Controller"/>
    <s v="NOS"/>
    <n v="3"/>
    <n v="990"/>
    <n v="2970"/>
  </r>
  <r>
    <x v="0"/>
    <x v="2"/>
    <s v="S26020016"/>
    <s v="TEMPERATURE GUN (0-275 DEGREE CELSIUS"/>
    <s v="NOS"/>
    <n v="1"/>
    <n v="5913"/>
    <n v="5913"/>
  </r>
  <r>
    <x v="0"/>
    <x v="2"/>
    <s v="S26040018"/>
    <s v="LOW PRESSURE SWITCH,RANGE- 0 TO 5 BAR, MODEL:-PSM-520-70"/>
    <s v="NOS"/>
    <n v="2"/>
    <n v="1011.332"/>
    <n v="2022.6649199999999"/>
  </r>
  <r>
    <x v="0"/>
    <x v="2"/>
    <s v="S26060010"/>
    <s v="RTD TEMPERATURE SENSOR, PT100, RANGE 0-300 °C, STEM: 8 X 50 MM, WITH 1/2' CONNECTOR"/>
    <s v="NOS"/>
    <n v="1"/>
    <n v="591.6"/>
    <n v="591.6"/>
  </r>
  <r>
    <x v="0"/>
    <x v="2"/>
    <s v="S26060128"/>
    <s v="RECEPTACLE AND TIP HOLDER"/>
    <s v="NOS"/>
    <n v="5"/>
    <n v="510"/>
    <n v="2550"/>
  </r>
  <r>
    <x v="0"/>
    <x v="2"/>
    <s v="S26060146"/>
    <s v="PRESSURE SWITCH 1 TO 10 BAR"/>
    <s v="NOS"/>
    <n v="1"/>
    <n v="1077.75"/>
    <n v="1077.75"/>
  </r>
  <r>
    <x v="0"/>
    <x v="2"/>
    <s v="S26060159"/>
    <s v="THERMOCOUPLE, K TYPE,LENGTH-500 MM,DIA-12 MM,FOR FURNACE PREHEATER 250 KW"/>
    <s v="NOS"/>
    <n v="1"/>
    <n v="516"/>
    <n v="516"/>
  </r>
  <r>
    <x v="0"/>
    <x v="2"/>
    <s v="S26070202"/>
    <s v="Digital Temperature Controller PID/On-Off ,Type 7E1"/>
    <s v="NOS"/>
    <n v="1"/>
    <n v="950"/>
    <n v="950"/>
  </r>
  <r>
    <x v="0"/>
    <x v="2"/>
    <s v="S26070205"/>
    <s v="HMD(Hot Metal Detector)  MODEL-Z15 VOLAGE-24VDC,RANGE-10 METERS COLOUR-YELLOW"/>
    <s v="NOS"/>
    <n v="1"/>
    <n v="0"/>
    <n v="0"/>
  </r>
  <r>
    <x v="0"/>
    <x v="2"/>
    <s v="S26070331"/>
    <s v="FLOAT TYPE LEVEL SENSOR FOR HYDRAULIC SYSTEM"/>
    <s v="NOS"/>
    <n v="1"/>
    <n v="9965"/>
    <n v="9965"/>
  </r>
  <r>
    <x v="0"/>
    <x v="2"/>
    <s v="S32020002"/>
    <s v="NITROGEN CYLINDERS"/>
    <s v="NOS"/>
    <n v="1"/>
    <n v="280"/>
    <n v="280"/>
  </r>
  <r>
    <x v="0"/>
    <x v="2"/>
    <s v="S37010071"/>
    <s v="Grinding Machine AG-4"/>
    <s v="NOS"/>
    <n v="1"/>
    <n v="1912"/>
    <n v="1912"/>
  </r>
  <r>
    <x v="0"/>
    <x v="2"/>
    <s v="S37010130"/>
    <s v="HAND DRILL MACHINE (13 MM CAPACITY)"/>
    <s v="NOS"/>
    <n v="1"/>
    <n v="3270.7449999999999"/>
    <n v="3270.74476"/>
  </r>
  <r>
    <x v="0"/>
    <x v="3"/>
    <s v="F05030203"/>
    <s v="MS-CHS 40 NB X 2.9 MM X 6000 MM"/>
    <s v="MT"/>
    <n v="3.2000000000000001E-2"/>
    <n v="35316.408000000003"/>
    <n v="1130.1250399999999"/>
  </r>
  <r>
    <x v="0"/>
    <x v="3"/>
    <s v="S02010097"/>
    <s v="WIRE ROPE U CLAMP-18MM"/>
    <s v="NOS"/>
    <n v="2"/>
    <n v="87.058999999999997"/>
    <n v="174.11763999999999"/>
  </r>
  <r>
    <x v="0"/>
    <x v="3"/>
    <s v="S03010004"/>
    <s v="BRASS SPRAY NOZZLE (6065)"/>
    <s v="NOS"/>
    <n v="85"/>
    <n v="173.88749999999999"/>
    <n v="14804"/>
  </r>
  <r>
    <x v="0"/>
    <x v="3"/>
    <s v="S03010007"/>
    <s v="BRASS SPRAY NOZZLE (8045)"/>
    <s v="NOS"/>
    <n v="45"/>
    <n v="146.79675"/>
    <n v="7024.8005000000003"/>
  </r>
  <r>
    <x v="0"/>
    <x v="3"/>
    <s v="S03010137"/>
    <s v="GEAR BOX FOR CUTTING APPROCH ROLLER TABLE, FOR CCM"/>
    <s v="NOS"/>
    <n v="1"/>
    <n v="24127.752"/>
    <n v="24127.751939999998"/>
  </r>
  <r>
    <x v="0"/>
    <x v="3"/>
    <s v="S03010163"/>
    <s v="UJ KIT FOR PROPELLER SHAFT 1410 SEREIS FOR CUTTING APPROCH ROLLER TABLE, FOR CCM"/>
    <s v="NOS"/>
    <n v="1"/>
    <n v="1330.2380000000001"/>
    <n v="1330.2381499999999"/>
  </r>
  <r>
    <x v="0"/>
    <x v="3"/>
    <s v="S03010172"/>
    <s v="SPRAY RING WITHOUT NOZZLES FOR MOULD JACKET 130 SQ MM, FOR CCM"/>
    <s v="NOS"/>
    <n v="2"/>
    <n v="20745.253000000001"/>
    <n v="41490.505380000002"/>
  </r>
  <r>
    <x v="0"/>
    <x v="3"/>
    <s v="S03010243"/>
    <s v="PROPELLER SHAFT 1800 SERIS FOR STRAND NO 1 &amp; 3 FOR STRAIGHTENER, FOR CCM"/>
    <s v="NOS"/>
    <n v="1"/>
    <n v="38287.531999999999"/>
    <n v="38287.531739999999"/>
  </r>
  <r>
    <x v="0"/>
    <x v="3"/>
    <s v="S03010249"/>
    <s v="DUAL CHAIN SPOCKET OF ROLLER TABLE FOR CCM  , NO OF TEETH 17, PITCH- 1 1/4'"/>
    <s v="NOS"/>
    <n v="3"/>
    <n v="2290"/>
    <n v="6870"/>
  </r>
  <r>
    <x v="0"/>
    <x v="3"/>
    <s v="S03010254"/>
    <s v="HOT SHEARING MACHINE BLADE FOR CCM"/>
    <s v="NOS"/>
    <n v="2"/>
    <n v="14300"/>
    <n v="28600"/>
  </r>
  <r>
    <x v="0"/>
    <x v="3"/>
    <s v="S03010291"/>
    <s v="SIMPLEX CHAIN 1 1/4' X  3.2 MTR"/>
    <s v="NOS"/>
    <n v="3"/>
    <n v="4070.8110000000001"/>
    <n v="12212.43297"/>
  </r>
  <r>
    <x v="0"/>
    <x v="3"/>
    <s v="S03010295"/>
    <s v="SPRAY RING FOR 160 MM SQ  SECTION WITH NOZZLE"/>
    <s v="SET"/>
    <n v="1"/>
    <n v="25392.452000000001"/>
    <n v="25392.451509999999"/>
  </r>
  <r>
    <x v="0"/>
    <x v="3"/>
    <s v="S03010305"/>
    <s v="MOULD LOCK FOR SEC 160 X 160 MM"/>
    <s v="NOS"/>
    <n v="2"/>
    <n v="2895.2240000000002"/>
    <n v="5790.4484199999997"/>
  </r>
  <r>
    <x v="0"/>
    <x v="3"/>
    <s v="S03010306"/>
    <s v="MOULD LOCK FOR SEC 130 X 13O MM"/>
    <s v="NOS"/>
    <n v="1"/>
    <n v="3364.72"/>
    <n v="3364.72003"/>
  </r>
  <r>
    <x v="0"/>
    <x v="3"/>
    <s v="S03010316"/>
    <s v="FULL CONE BRASS SPRAY NOZZLE 2565"/>
    <s v="NOS"/>
    <n v="55"/>
    <n v="171.76266666666601"/>
    <n v="9450.1784000000007"/>
  </r>
  <r>
    <x v="0"/>
    <x v="3"/>
    <s v="S03010334"/>
    <s v="ECCENTRIC SHAFT , PART NO 4 ,CCM"/>
    <s v="NOS"/>
    <n v="1"/>
    <n v="24375"/>
    <n v="24375"/>
  </r>
  <r>
    <x v="0"/>
    <x v="3"/>
    <s v="S03010335"/>
    <s v="ECCENTRIC BUSH , PART NO 5 ,CCM"/>
    <s v="SET"/>
    <n v="1"/>
    <n v="54457.902999999998"/>
    <n v="54457.902540000003"/>
  </r>
  <r>
    <x v="0"/>
    <x v="3"/>
    <s v="S03010344"/>
    <s v="ECCENTRIC ADJUSTING BUSH, FOR CCM"/>
    <s v="NOS"/>
    <n v="1"/>
    <n v="22745.78"/>
    <n v="22745.780139999999"/>
  </r>
  <r>
    <x v="0"/>
    <x v="3"/>
    <s v="S08010176"/>
    <s v="CSK HEAD ALLEN BOLT M20 X 150 MM WITH NUT FULL THREAD"/>
    <s v="NOS"/>
    <n v="30"/>
    <n v="140.91083333333299"/>
    <n v="4213.5502200000001"/>
  </r>
  <r>
    <x v="0"/>
    <x v="3"/>
    <s v="S08010184"/>
    <s v="CSK HEAD ALLEN BOLT M5X30 MM"/>
    <s v="NOS"/>
    <n v="1"/>
    <n v="4.76"/>
    <n v="4.7602799999999998"/>
  </r>
  <r>
    <x v="0"/>
    <x v="3"/>
    <s v="S08010188"/>
    <s v="HT ALLEN BOLT 20 X100MM HALF THREAD WITH NUT &amp; SPRING WASHER"/>
    <s v="SET"/>
    <n v="8"/>
    <n v="103.113"/>
    <n v="824.90440000000001"/>
  </r>
  <r>
    <x v="0"/>
    <x v="3"/>
    <s v="S08010195"/>
    <s v="ALLEN BOLT M 20 X 75 MM"/>
    <s v="NOS"/>
    <n v="5"/>
    <n v="64.212999999999994"/>
    <n v="321.06545"/>
  </r>
  <r>
    <x v="0"/>
    <x v="3"/>
    <s v="S08010236"/>
    <s v="HT ALLEN BOLT 24 X 180 MM, 80 MM THREAD."/>
    <s v="NOS"/>
    <n v="10"/>
    <n v="338.27699999999999"/>
    <n v="3382.7674000000002"/>
  </r>
  <r>
    <x v="0"/>
    <x v="3"/>
    <s v="S08050405"/>
    <s v="HT BOLT 20 X 230 MM (HALF THREAD)"/>
    <s v="NOS"/>
    <n v="4"/>
    <n v="192.471"/>
    <n v="769.88576"/>
  </r>
  <r>
    <x v="0"/>
    <x v="3"/>
    <s v="S08050428"/>
    <s v="HT BOLT, NUT, WASHER M 16 X 75 MM"/>
    <s v="SET"/>
    <n v="8"/>
    <n v="39.774000000000001"/>
    <n v="318.18815999999998"/>
  </r>
  <r>
    <x v="0"/>
    <x v="3"/>
    <s v="S08050452"/>
    <s v="HT BOLT, NUT WITH DOUBLE WASHER, HALF THREAD M10 X 50 MM"/>
    <s v="SET"/>
    <n v="20"/>
    <n v="11.198"/>
    <n v="223.9606"/>
  </r>
  <r>
    <x v="0"/>
    <x v="3"/>
    <s v="S08070215"/>
    <s v="ALLEN KEY BOLT M 16X50 FULL THREADED"/>
    <s v="NOS"/>
    <n v="16"/>
    <n v="28.529"/>
    <n v="456.46096"/>
  </r>
  <r>
    <x v="0"/>
    <x v="3"/>
    <s v="S08070216"/>
    <s v="ALLEN KEY BOLT M 16X75 FULL THREADED"/>
    <s v="NOS"/>
    <n v="5"/>
    <n v="34.566000000000003"/>
    <n v="172.82759999999999"/>
  </r>
  <r>
    <x v="0"/>
    <x v="3"/>
    <s v="S08070251"/>
    <s v="MS WASHER - ID M16"/>
    <s v="KG"/>
    <n v="1"/>
    <n v="72.421999999999997"/>
    <n v="72.422210000000007"/>
  </r>
  <r>
    <x v="0"/>
    <x v="3"/>
    <s v="S08070299"/>
    <s v="MS NUT M32"/>
    <s v="KG"/>
    <n v="1"/>
    <n v="111.033"/>
    <n v="111.03270000000001"/>
  </r>
  <r>
    <x v="0"/>
    <x v="3"/>
    <s v="S08070312"/>
    <s v="MS HEX BOLT M12 X 50"/>
    <s v="KG"/>
    <n v="7"/>
    <n v="81.013999999999996"/>
    <n v="568.67370000000005"/>
  </r>
  <r>
    <x v="0"/>
    <x v="3"/>
    <s v="S08070321"/>
    <s v="MS HEX BOLT M16 X 75"/>
    <s v="KG"/>
    <n v="3"/>
    <n v="74.682000000000002"/>
    <n v="224.04468"/>
  </r>
  <r>
    <x v="0"/>
    <x v="3"/>
    <s v="S08070322"/>
    <s v="MS HEX BOLT M20 X 100"/>
    <s v="KG"/>
    <n v="16"/>
    <n v="74.846999999999994"/>
    <n v="1197.54477"/>
  </r>
  <r>
    <x v="0"/>
    <x v="3"/>
    <s v="S08070327"/>
    <s v="MS HEX BOLT M20 X 75"/>
    <s v="KG"/>
    <n v="5"/>
    <n v="65.024000000000001"/>
    <n v="325.11869999999999"/>
  </r>
  <r>
    <x v="0"/>
    <x v="3"/>
    <s v="S08070328"/>
    <s v="MS HEX BOLT M24 X 100"/>
    <s v="KG"/>
    <n v="8"/>
    <n v="83.808000000000007"/>
    <n v="670.46560999999997"/>
  </r>
  <r>
    <x v="0"/>
    <x v="3"/>
    <s v="S08070329"/>
    <s v="MS HEX BOLT M24 X 150"/>
    <s v="KG"/>
    <n v="2"/>
    <n v="65.585999999999999"/>
    <n v="131.17205999999999"/>
  </r>
  <r>
    <x v="0"/>
    <x v="3"/>
    <s v="S08070330"/>
    <s v="MS HEX BOLT M24 X 200"/>
    <s v="KG"/>
    <n v="2"/>
    <n v="89.7"/>
    <n v="179.3998"/>
  </r>
  <r>
    <x v="0"/>
    <x v="3"/>
    <s v="S08070333"/>
    <s v="MS HEX NUT M12"/>
    <s v="KG"/>
    <n v="3.5"/>
    <n v="83.563999999999993"/>
    <n v="292.47348"/>
  </r>
  <r>
    <x v="0"/>
    <x v="3"/>
    <s v="S08070334"/>
    <s v="MS HEX NUT M16"/>
    <s v="KG"/>
    <n v="1"/>
    <n v="83.563999999999993"/>
    <n v="83.563850000000002"/>
  </r>
  <r>
    <x v="0"/>
    <x v="3"/>
    <s v="S08070335"/>
    <s v="MS HEX NUT M20"/>
    <s v="KG"/>
    <n v="11"/>
    <n v="79.680666666666596"/>
    <n v="892.60936000000004"/>
  </r>
  <r>
    <x v="0"/>
    <x v="3"/>
    <s v="S08070338"/>
    <s v="MS PLAIN WASHER 20MM"/>
    <s v="KG"/>
    <n v="9"/>
    <n v="73.272000000000006"/>
    <n v="659.45213999999999"/>
  </r>
  <r>
    <x v="0"/>
    <x v="3"/>
    <s v="S08070339"/>
    <s v="MS PLAIN WASHER 24MM"/>
    <s v="KG"/>
    <n v="3"/>
    <n v="77.741"/>
    <n v="233.22443999999999"/>
  </r>
  <r>
    <x v="0"/>
    <x v="3"/>
    <s v="S11010430"/>
    <s v="MS 1 1/2'' Short Bend"/>
    <s v="NOS"/>
    <n v="1"/>
    <n v="37.36"/>
    <n v="37.36"/>
  </r>
  <r>
    <x v="0"/>
    <x v="3"/>
    <s v="S11010839"/>
    <s v="C.S Ball Valve 1"/>
    <s v="NOS"/>
    <n v="4"/>
    <n v="669"/>
    <n v="2676"/>
  </r>
  <r>
    <x v="0"/>
    <x v="3"/>
    <s v="S11010887"/>
    <s v="SS 304  Ball Valve 1/2''"/>
    <s v="NOS"/>
    <n v="3"/>
    <n v="259.03199999999998"/>
    <n v="777.09677999999997"/>
  </r>
  <r>
    <x v="0"/>
    <x v="3"/>
    <s v="S11010895"/>
    <s v="SS Needle Valves 1/2'' NPT"/>
    <s v="NOS"/>
    <n v="4"/>
    <n v="390"/>
    <n v="1560"/>
  </r>
  <r>
    <x v="0"/>
    <x v="3"/>
    <s v="S11011021"/>
    <s v="Black Paint"/>
    <s v="LTR"/>
    <n v="20"/>
    <n v="171.61500000000001"/>
    <n v="3432.2928000000002"/>
  </r>
  <r>
    <x v="0"/>
    <x v="3"/>
    <s v="S11011032"/>
    <s v="Paint Brush 100mm"/>
    <s v="NOS"/>
    <n v="8"/>
    <n v="112.17449999999999"/>
    <n v="897.39453000000003"/>
  </r>
  <r>
    <x v="0"/>
    <x v="3"/>
    <s v="S11011043"/>
    <s v="Sea Bus Green Paint"/>
    <s v="LTR"/>
    <n v="20"/>
    <n v="171.61500000000001"/>
    <n v="3432.2928000000002"/>
  </r>
  <r>
    <x v="0"/>
    <x v="3"/>
    <s v="S11011045"/>
    <s v="Signal Red Paint"/>
    <s v="LTR"/>
    <n v="20"/>
    <n v="175.38399999999999"/>
    <n v="3507.6756"/>
  </r>
  <r>
    <x v="0"/>
    <x v="3"/>
    <s v="S11011046"/>
    <s v="Sky Blue Paint"/>
    <s v="LTR"/>
    <n v="40"/>
    <n v="172.23500000000001"/>
    <n v="6889.4096"/>
  </r>
  <r>
    <x v="0"/>
    <x v="3"/>
    <s v="S11020225"/>
    <s v="JUBILEE CLAMP,SS,SIZE-1/2'"/>
    <s v="NOS"/>
    <n v="25"/>
    <n v="46.8"/>
    <n v="1170"/>
  </r>
  <r>
    <x v="0"/>
    <x v="3"/>
    <s v="S11020227"/>
    <s v="JUBILEE CLAMP,SS,SIZE-3/4'"/>
    <s v="NOS"/>
    <n v="20"/>
    <n v="16"/>
    <n v="320"/>
  </r>
  <r>
    <x v="0"/>
    <x v="3"/>
    <s v="S11020495"/>
    <s v="HEX NIPPLE,GI,C-CLASS,NB-2'"/>
    <s v="NOS"/>
    <n v="2"/>
    <n v="123.54"/>
    <n v="247.08"/>
  </r>
  <r>
    <x v="0"/>
    <x v="3"/>
    <s v="S11020788"/>
    <s v="SYPHONE TUBE 3/8'"/>
    <s v="NOS"/>
    <n v="2"/>
    <n v="176.09700000000001"/>
    <n v="352.19479999999999"/>
  </r>
  <r>
    <x v="0"/>
    <x v="3"/>
    <s v="S11020793"/>
    <s v="HYDRAULIC HEX NIPPLE SIZE : 3/4' x 3/4'"/>
    <s v="NOS"/>
    <n v="4"/>
    <n v="51.335000000000001"/>
    <n v="205.33860000000001"/>
  </r>
  <r>
    <x v="0"/>
    <x v="3"/>
    <s v="S11020794"/>
    <s v="HYDRAULIC HEX NIPPLE SIZE : 1' x 1'"/>
    <s v="NOS"/>
    <n v="6"/>
    <n v="74.457999999999998"/>
    <n v="446.74673999999999"/>
  </r>
  <r>
    <x v="0"/>
    <x v="3"/>
    <s v="S11020798"/>
    <s v="STUD STANDPIPE ADAPTOR 25 N.BX1' BSP(M) WELDABLE (WITH 60DEG CONE)"/>
    <s v="PCS"/>
    <n v="2"/>
    <n v="261.66199999999998"/>
    <n v="523.32403999999997"/>
  </r>
  <r>
    <x v="0"/>
    <x v="3"/>
    <s v="S11021033"/>
    <s v="M.S. WELDABLE SOCKET 3/8' SCH 80"/>
    <s v="NOS"/>
    <n v="4"/>
    <n v="9.6999999999999993"/>
    <n v="38.799999999999997"/>
  </r>
  <r>
    <x v="0"/>
    <x v="3"/>
    <s v="S11021220"/>
    <s v="HYDRAULIC HEX NIPPLE 3/8'' BSP"/>
    <s v="NOS"/>
    <n v="2"/>
    <n v="35.215000000000003"/>
    <n v="70.429540000000003"/>
  </r>
  <r>
    <x v="0"/>
    <x v="3"/>
    <s v="S11021221"/>
    <s v="HYDRAULIC HEX NIPPLE 1/4''BSP"/>
    <s v="NOS"/>
    <n v="2"/>
    <n v="28.51"/>
    <n v="57.019100000000002"/>
  </r>
  <r>
    <x v="0"/>
    <x v="3"/>
    <s v="S11021393"/>
    <s v="SS UNION 2'"/>
    <s v="NOS"/>
    <n v="5"/>
    <n v="1010.917"/>
    <n v="5054.5864499999998"/>
  </r>
  <r>
    <x v="0"/>
    <x v="3"/>
    <s v="S11021467"/>
    <s v="BARREL NIPPLE,SS-304,1 1/2',LENGTH-200 MM ,BSP THREAD BOTH SIDE."/>
    <s v="NOS"/>
    <n v="4"/>
    <n v="216.827"/>
    <n v="867.30768999999998"/>
  </r>
  <r>
    <x v="0"/>
    <x v="3"/>
    <s v="S11021499"/>
    <s v="RETAINING NUT,NOZZLE,HEAVY DUTY BRASS,PART NO: AC 9101,COMPATIBLE WITH 18' TO 48' GAS CUTTING TORCH"/>
    <s v="NOS"/>
    <n v="3"/>
    <n v="53"/>
    <n v="159"/>
  </r>
  <r>
    <x v="0"/>
    <x v="3"/>
    <s v="S11030846"/>
    <s v="HYDRAULIC VANE PUMP MODEL NO.CH60Y-B15-1ROOB1"/>
    <s v="NOS"/>
    <n v="1"/>
    <n v="20899.125"/>
    <n v="20899.124820000001"/>
  </r>
  <r>
    <x v="0"/>
    <x v="3"/>
    <s v="S11040936"/>
    <s v="SS COCK VALVE 3/8'"/>
    <s v="NOS"/>
    <n v="2"/>
    <n v="188.75"/>
    <n v="377.5"/>
  </r>
  <r>
    <x v="0"/>
    <x v="3"/>
    <s v="S11090001"/>
    <s v="THINNER"/>
    <s v="LTR"/>
    <n v="60"/>
    <n v="116.697"/>
    <n v="7001.8032000000003"/>
  </r>
  <r>
    <x v="0"/>
    <x v="3"/>
    <s v="S11090004"/>
    <s v="YELLOW PAINT"/>
    <s v="LTR"/>
    <n v="80"/>
    <n v="175.827"/>
    <n v="14066.172399999999"/>
  </r>
  <r>
    <x v="0"/>
    <x v="3"/>
    <s v="S11090005"/>
    <s v="DEEP BLUE PAINT"/>
    <s v="LTR"/>
    <n v="60"/>
    <n v="182.81100000000001"/>
    <n v="10968.629650000001"/>
  </r>
  <r>
    <x v="0"/>
    <x v="3"/>
    <s v="S11091071"/>
    <s v="HIGH TEMPERATURE ALUMINIUM PAINT"/>
    <s v="LTR"/>
    <n v="20"/>
    <n v="327.09100000000001"/>
    <n v="6541.8234000000002"/>
  </r>
  <r>
    <x v="0"/>
    <x v="3"/>
    <s v="S11101165"/>
    <s v="C I GATE VALVE 1''X 115 MM"/>
    <s v="NOS"/>
    <n v="2"/>
    <n v="1777.433"/>
    <n v="3554.8656599999999"/>
  </r>
  <r>
    <x v="0"/>
    <x v="3"/>
    <s v="S11131129"/>
    <s v="FULL CONE BRASS SPRAY NOZZLE 9045"/>
    <s v="NOS"/>
    <n v="27"/>
    <n v="155.488"/>
    <n v="4198.1679000000004"/>
  </r>
  <r>
    <x v="0"/>
    <x v="3"/>
    <s v="S11190739"/>
    <s v="SHAFT WITH KEY FOR WK 80/3 PUMP"/>
    <s v="PCS"/>
    <n v="1"/>
    <n v="42128.192999999999"/>
    <n v="42128.192519999997"/>
  </r>
  <r>
    <x v="0"/>
    <x v="3"/>
    <s v="S12010070"/>
    <s v="MS Washer M 12"/>
    <s v="KG"/>
    <n v="3"/>
    <n v="75.042000000000002"/>
    <n v="225.12685999999999"/>
  </r>
  <r>
    <x v="0"/>
    <x v="3"/>
    <s v="S12010083"/>
    <s v="Allen Bolt Nut &amp; Washer M 16 X 100 MM"/>
    <s v="NOS"/>
    <n v="7"/>
    <n v="38"/>
    <n v="266"/>
  </r>
  <r>
    <x v="0"/>
    <x v="3"/>
    <s v="S12010119"/>
    <s v="MS NUT M 24"/>
    <s v="KG"/>
    <n v="3"/>
    <n v="95.54"/>
    <n v="288.15168999999997"/>
  </r>
  <r>
    <x v="0"/>
    <x v="3"/>
    <s v="S12010200"/>
    <s v="Cutting Wheel AG4"/>
    <s v="NOS"/>
    <n v="24"/>
    <n v="11.249750000000001"/>
    <n v="269.91885000000002"/>
  </r>
  <r>
    <x v="0"/>
    <x v="3"/>
    <s v="S12010203"/>
    <s v="Grinding Wheel AG 7"/>
    <s v="NOS"/>
    <n v="13"/>
    <n v="73.512"/>
    <n v="955.65508999999997"/>
  </r>
  <r>
    <x v="0"/>
    <x v="3"/>
    <s v="S12010207"/>
    <s v="Buffing Wheel AG-4"/>
    <s v="NOS"/>
    <n v="4"/>
    <n v="22.462"/>
    <n v="89.84796"/>
  </r>
  <r>
    <x v="0"/>
    <x v="3"/>
    <s v="S12010208"/>
    <s v="Cutting Wheel 14"/>
    <s v="NOS"/>
    <n v="2"/>
    <n v="112.31"/>
    <n v="224.61977999999999"/>
  </r>
  <r>
    <x v="0"/>
    <x v="3"/>
    <s v="S12010214"/>
    <s v="Grinding Wheel AG-4"/>
    <s v="NOS"/>
    <n v="11"/>
    <n v="30"/>
    <n v="330"/>
  </r>
  <r>
    <x v="0"/>
    <x v="3"/>
    <s v="S12010257"/>
    <s v="Measurement tape 5 Mtr"/>
    <s v="NOS"/>
    <n v="2"/>
    <n v="70.923000000000002"/>
    <n v="141.84530000000001"/>
  </r>
  <r>
    <x v="0"/>
    <x v="3"/>
    <s v="S12010319"/>
    <s v="M-seal"/>
    <s v="KG"/>
    <n v="1"/>
    <n v="215"/>
    <n v="211.99825000000001"/>
  </r>
  <r>
    <x v="0"/>
    <x v="3"/>
    <s v="S12030001"/>
    <s v="Industrial Oil Can ¼"/>
    <s v="NOS"/>
    <n v="1"/>
    <n v="57.34"/>
    <n v="57.34"/>
  </r>
  <r>
    <x v="0"/>
    <x v="3"/>
    <s v="S12040065"/>
    <s v="36MM TORQUE WRENCH SOCKET (3/4- SQUARE DRIVE)"/>
    <s v="NOS"/>
    <n v="1"/>
    <n v="382.15300000000002"/>
    <n v="382.15316999999999"/>
  </r>
  <r>
    <x v="0"/>
    <x v="3"/>
    <s v="S12040074"/>
    <s v="DOUBLE PLY WEBBING SLINGS FLAT BELT 125 MM 5METER  (LIFTING CAPACITY : 5 TON"/>
    <s v="NOS"/>
    <n v="1"/>
    <n v="744.5"/>
    <n v="744.5"/>
  </r>
  <r>
    <x v="0"/>
    <x v="3"/>
    <s v="S12040427"/>
    <s v="TAP SET HANDLE SIZE 6 INCH"/>
    <s v="NOS"/>
    <n v="1"/>
    <n v="286.13600000000002"/>
    <n v="286.13628"/>
  </r>
  <r>
    <x v="0"/>
    <x v="3"/>
    <s v="S12040562"/>
    <s v="OUTSIDE CALIPER 18'"/>
    <s v="NOS"/>
    <n v="1"/>
    <n v="523.4"/>
    <n v="523.40025000000003"/>
  </r>
  <r>
    <x v="0"/>
    <x v="3"/>
    <s v="S15010042"/>
    <s v="Wire Brush"/>
    <s v="NOS"/>
    <n v="4"/>
    <n v="24.567"/>
    <n v="98.266679999999994"/>
  </r>
  <r>
    <x v="0"/>
    <x v="3"/>
    <s v="S15010176"/>
    <s v="Bearing- 6211 2RS"/>
    <s v="NOS"/>
    <n v="2"/>
    <n v="619.31799999999998"/>
    <n v="1238.6361199999999"/>
  </r>
  <r>
    <x v="0"/>
    <x v="3"/>
    <s v="S15010329"/>
    <s v="HOUSING COVER FOR 2QC LADLE"/>
    <s v="NOS"/>
    <n v="1"/>
    <n v="15262.647999999999"/>
    <n v="15262.64755"/>
  </r>
  <r>
    <x v="0"/>
    <x v="3"/>
    <s v="S15010649"/>
    <s v="GUN METAL HOLLOW ROUND ID-55MM,OD-85 MM,LEGNTH-300 MM"/>
    <s v="NOS"/>
    <n v="1"/>
    <n v="15354.683000000001"/>
    <n v="15354.68262"/>
  </r>
  <r>
    <x v="0"/>
    <x v="3"/>
    <s v="S15010654"/>
    <s v="GUN METAL HOLLOW ROUND ID-65MM, OD-100MM LENGTH-300MM"/>
    <s v="NOS"/>
    <n v="1"/>
    <n v="15150"/>
    <n v="15150"/>
  </r>
  <r>
    <x v="0"/>
    <x v="3"/>
    <s v="S15010722"/>
    <s v="EXTERNAL CIRCLIP - 100"/>
    <s v="NOS"/>
    <n v="3"/>
    <n v="45"/>
    <n v="135"/>
  </r>
  <r>
    <x v="0"/>
    <x v="3"/>
    <s v="S15010753"/>
    <s v="GUN METAL HOLLOW ROUND ID-47,OD-70,LEGNTH-300 MM"/>
    <s v="NOS"/>
    <n v="1"/>
    <n v="10087.646000000001"/>
    <n v="10087.645860000001"/>
  </r>
  <r>
    <x v="0"/>
    <x v="3"/>
    <s v="S16010052"/>
    <s v="Hose clamp 1/2''"/>
    <s v="NOS"/>
    <n v="10"/>
    <n v="7.25"/>
    <n v="72.5"/>
  </r>
  <r>
    <x v="0"/>
    <x v="3"/>
    <s v="S16010091"/>
    <s v="Oxygen Hose"/>
    <s v="MTR"/>
    <n v="50"/>
    <n v="88.748000000000005"/>
    <n v="4437.3789999999999"/>
  </r>
  <r>
    <x v="0"/>
    <x v="3"/>
    <s v="S16010105"/>
    <s v="Teflon Tape"/>
    <s v="NOS"/>
    <n v="85"/>
    <n v="7.2791428571428503"/>
    <n v="620.29787999999996"/>
  </r>
  <r>
    <x v="0"/>
    <x v="3"/>
    <s v="S16010149"/>
    <s v="Oil Seal 35 x 50 x 7"/>
    <s v="NOS"/>
    <n v="3"/>
    <n v="30.562999999999999"/>
    <n v="91.6875"/>
  </r>
  <r>
    <x v="0"/>
    <x v="3"/>
    <s v="S16010224"/>
    <s v="Asbestos rope 3mm"/>
    <s v="KG"/>
    <n v="6"/>
    <n v="200"/>
    <n v="1200"/>
  </r>
  <r>
    <x v="0"/>
    <x v="3"/>
    <s v="S16010227"/>
    <s v="Asbestos Tape 3mm x 50mm "/>
    <s v="KG"/>
    <n v="44"/>
    <n v="137.203"/>
    <n v="6036.91572"/>
  </r>
  <r>
    <x v="0"/>
    <x v="3"/>
    <s v="S16010245"/>
    <s v="Non Metallic Gasket 3mm"/>
    <s v="KG"/>
    <n v="3"/>
    <n v="166.03800000000001"/>
    <n v="498.11399999999998"/>
  </r>
  <r>
    <x v="0"/>
    <x v="3"/>
    <s v="S16020115"/>
    <s v="HYDRAULIC HOSE 19.05 MM ID X 1MTR 3/4'BSP(F) BOTH END SWIVEL NUT"/>
    <s v="NOS"/>
    <n v="2"/>
    <n v="1314"/>
    <n v="2628"/>
  </r>
  <r>
    <x v="0"/>
    <x v="3"/>
    <s v="S16020124"/>
    <s v="S.S.WIRE BRAIDED FLEXIBLE HOSE PIPE 1 1\2' X 500 MM W.P 10 KG"/>
    <s v="NOS"/>
    <n v="3"/>
    <n v="980.54"/>
    <n v="2941.6212"/>
  </r>
  <r>
    <x v="0"/>
    <x v="3"/>
    <s v="S16020126"/>
    <s v="HYDRAULIC HOSE 3/4' X 1.5 MTR"/>
    <s v="NOS"/>
    <n v="3"/>
    <n v="1215.1569999999999"/>
    <n v="3645.4705199999999"/>
  </r>
  <r>
    <x v="0"/>
    <x v="3"/>
    <s v="S16020127"/>
    <s v="HYDRAULIC HOSE 1/2' X 5 MTR"/>
    <s v="NOS"/>
    <n v="3"/>
    <n v="1524.14"/>
    <n v="4572.4195200000004"/>
  </r>
  <r>
    <x v="0"/>
    <x v="3"/>
    <s v="S16020187"/>
    <s v="HOSE PIPE S.S WIRE BRAIDED FLEXIABLE 3/4' X 1 MTR"/>
    <s v="NOS"/>
    <n v="7"/>
    <n v="339.32499999999999"/>
    <n v="2378.14048"/>
  </r>
  <r>
    <x v="0"/>
    <x v="3"/>
    <s v="S16020223"/>
    <s v="SS DOUBLE WIRE BRAIDED HYDRAULIC HOSE 25MM ID X LENTH 2200MM 1'BSP(F)BOTH END SWIVEL NUT WP-260 BAR"/>
    <s v="NOS"/>
    <n v="1"/>
    <n v="3129.625"/>
    <n v="3129.625"/>
  </r>
  <r>
    <x v="0"/>
    <x v="3"/>
    <s v="S16040224"/>
    <s v="SEAL KIT FOR PUSHER CYLINDER"/>
    <s v="NOS"/>
    <n v="1"/>
    <n v="6392.857"/>
    <n v="6392.8571499999998"/>
  </r>
  <r>
    <x v="0"/>
    <x v="3"/>
    <s v="S16040225"/>
    <s v="SEAL KIT FOR ENTRY CYCLINDER  SIZE-125X70X250, STROKE"/>
    <s v="SET"/>
    <n v="2"/>
    <n v="5762.8270000000002"/>
    <n v="11525.654560000001"/>
  </r>
  <r>
    <x v="0"/>
    <x v="3"/>
    <s v="S16040226"/>
    <s v="SEAL KIT FOR ENTRY CYCLINDER  SIZE-125X70X350, STROKE"/>
    <s v="SET"/>
    <n v="3"/>
    <n v="6157.5919999999996"/>
    <n v="18472.774979999998"/>
  </r>
  <r>
    <x v="0"/>
    <x v="3"/>
    <s v="S16040229"/>
    <s v="OIL SEAL SIZE : 80 X 60 X 10 MM"/>
    <s v="NOS"/>
    <n v="1"/>
    <n v="50.976999999999997"/>
    <n v="50.977200000000003"/>
  </r>
  <r>
    <x v="0"/>
    <x v="3"/>
    <s v="S16040259"/>
    <s v="OIL SEAL NITRILE-48X72X10"/>
    <s v="NOS"/>
    <n v="1"/>
    <n v="54.293999999999997"/>
    <n v="54.293930000000003"/>
  </r>
  <r>
    <x v="0"/>
    <x v="3"/>
    <s v="S16040291"/>
    <s v="SILICON O RING THK 10.2 MM X ID 180 TEMP RANGE 250 DEG"/>
    <s v="NOS"/>
    <n v="10"/>
    <n v="87.382000000000005"/>
    <n v="873.81724999999994"/>
  </r>
  <r>
    <x v="0"/>
    <x v="3"/>
    <s v="S16040292"/>
    <s v="SILICON O RING THK 10.2 MM X ID 219TEMP RANGE 250 DEG"/>
    <s v="NOS"/>
    <n v="10"/>
    <n v="172.5635"/>
    <n v="1725.6341500000001"/>
  </r>
  <r>
    <x v="0"/>
    <x v="3"/>
    <s v="S16040429"/>
    <s v="PU SEAL FOR HOT BILLET  SHEARING HYDRAULIC CYLINDER PISTON ID -200 OD-220 LENGTH -15MM"/>
    <s v="NOS"/>
    <n v="1"/>
    <n v="436.5"/>
    <n v="436.5"/>
  </r>
  <r>
    <x v="0"/>
    <x v="3"/>
    <s v="S16040505"/>
    <s v="SILICON O RING THK-8 MM X ID 130 MM  TEMP RANGE 250 DEG"/>
    <s v="NOS"/>
    <n v="10"/>
    <n v="140"/>
    <n v="1400"/>
  </r>
  <r>
    <x v="0"/>
    <x v="3"/>
    <s v="S16050002"/>
    <s v="ASBESTOS TAPE, 50 MM WIDTH X 5 MM THICK"/>
    <s v="KG"/>
    <n v="5"/>
    <n v="173.38300000000001"/>
    <n v="866.91729999999995"/>
  </r>
  <r>
    <x v="0"/>
    <x v="3"/>
    <s v="S17030324"/>
    <s v="V BELT C-109"/>
    <s v="NOS"/>
    <n v="2"/>
    <n v="651.84299999999996"/>
    <n v="1303.6866600000001"/>
  </r>
  <r>
    <x v="0"/>
    <x v="3"/>
    <s v="S17030328"/>
    <s v="LOVE JOY COUPLING L-150"/>
    <s v="NOS"/>
    <n v="2"/>
    <n v="1184.5129999999999"/>
    <n v="2369.0267600000002"/>
  </r>
  <r>
    <x v="0"/>
    <x v="3"/>
    <s v="S17030347"/>
    <s v="RB-178,COUPLING PIN BUSH BOLT,12X75 MM"/>
    <s v="NOS"/>
    <n v="20"/>
    <n v="56.5"/>
    <n v="1130"/>
  </r>
  <r>
    <x v="0"/>
    <x v="3"/>
    <s v="S17030537"/>
    <s v="C.I V PULLEY,7''OD,'C'SECTION,3 GROOVE THICKNESS 83MM BORE 30MM"/>
    <s v="NOS"/>
    <n v="1"/>
    <n v="1809.172"/>
    <n v="1809.1720499999999"/>
  </r>
  <r>
    <x v="0"/>
    <x v="3"/>
    <s v="S18060001"/>
    <s v="Cotton Waste"/>
    <s v="KG"/>
    <n v="54"/>
    <n v="24.158874999999998"/>
    <n v="1291.63626"/>
  </r>
  <r>
    <x v="0"/>
    <x v="3"/>
    <s v="S18130277"/>
    <s v="PLASTIC JAR CAPACITY 02 KGS"/>
    <s v="NOS"/>
    <n v="12"/>
    <n v="52"/>
    <n v="624"/>
  </r>
  <r>
    <x v="0"/>
    <x v="3"/>
    <s v="S20010070"/>
    <s v="INDUSTRIAL TORCH LIGHT, RECHARGEABLE, LI-ION BATTERY, WATER RESISTANT, RANGE: 800 MTR, 1500 LUMENS"/>
    <s v="NOS"/>
    <n v="2"/>
    <n v="855"/>
    <n v="1710"/>
  </r>
  <r>
    <x v="0"/>
    <x v="3"/>
    <s v="S21010075"/>
    <s v="Key Rod 12 mm x 12 mm"/>
    <s v="NOS"/>
    <n v="2"/>
    <n v="97.709000000000003"/>
    <n v="195.41824"/>
  </r>
  <r>
    <x v="0"/>
    <x v="3"/>
    <s v="S21010081"/>
    <s v="Key Rod 14 mm x 14 mm"/>
    <s v="NOS"/>
    <n v="1"/>
    <n v="115"/>
    <n v="115"/>
  </r>
  <r>
    <x v="0"/>
    <x v="3"/>
    <s v="S21010274"/>
    <s v="MS PLATE,PLAIN,THICKNESS-12MM"/>
    <s v="KG"/>
    <n v="725"/>
    <n v="60.67"/>
    <n v="43985.735500000003"/>
  </r>
  <r>
    <x v="0"/>
    <x v="3"/>
    <s v="S24010009"/>
    <s v="M.S Welding Electrodes 3.15mm"/>
    <s v="PKT"/>
    <n v="12"/>
    <n v="282.53625"/>
    <n v="3381.1056800000001"/>
  </r>
  <r>
    <x v="0"/>
    <x v="3"/>
    <s v="S24010010"/>
    <s v="M.S Welding Electrodes 4mm"/>
    <s v="PKT"/>
    <n v="91"/>
    <n v="348.213608695652"/>
    <n v="31682.83512"/>
  </r>
  <r>
    <x v="0"/>
    <x v="3"/>
    <s v="S24010015"/>
    <s v="Welding Electrodes (7018) 4mm"/>
    <s v="PKT"/>
    <n v="33"/>
    <n v="582.10737500000005"/>
    <n v="19202.421249999999"/>
  </r>
  <r>
    <x v="0"/>
    <x v="3"/>
    <s v="S24010016"/>
    <s v="Welding Electrodes SS 309 3.15mm"/>
    <s v="PKT"/>
    <n v="7"/>
    <n v="1477.5340000000001"/>
    <n v="10322.67288"/>
  </r>
  <r>
    <x v="0"/>
    <x v="3"/>
    <s v="S24010018"/>
    <s v="Welding Glasses Black"/>
    <s v="NOS"/>
    <n v="10"/>
    <n v="12.479333333333299"/>
    <n v="124.44978"/>
  </r>
  <r>
    <x v="0"/>
    <x v="3"/>
    <s v="S24010019"/>
    <s v="Welding Glasses White"/>
    <s v="NOS"/>
    <n v="22"/>
    <n v="2.6429999999999998"/>
    <n v="58.136319999999998"/>
  </r>
  <r>
    <x v="0"/>
    <x v="3"/>
    <s v="S24010021"/>
    <s v="Welding Holders, Capacity - Up to 600 amps"/>
    <s v="NOS"/>
    <n v="2"/>
    <n v="410.4"/>
    <n v="820.8"/>
  </r>
  <r>
    <x v="0"/>
    <x v="3"/>
    <s v="S24010034"/>
    <s v="Cutting Torch"/>
    <s v="NOS"/>
    <n v="1"/>
    <n v="5815.2939999999999"/>
    <n v="5815.2938599999998"/>
  </r>
  <r>
    <x v="0"/>
    <x v="3"/>
    <s v="S24010035"/>
    <s v="Cutting Torch Nozzle 1/ 16"/>
    <s v="NOS"/>
    <n v="4"/>
    <n v="222.71600000000001"/>
    <n v="890.86419000000001"/>
  </r>
  <r>
    <x v="0"/>
    <x v="3"/>
    <s v="S24010037"/>
    <s v="LPG Regulator"/>
    <s v="NOS"/>
    <n v="2"/>
    <n v="650"/>
    <n v="1300"/>
  </r>
  <r>
    <x v="0"/>
    <x v="3"/>
    <s v="S24010099"/>
    <s v="FELIX 515 AC-DC ELECTRODES 4 MM"/>
    <s v="PKT"/>
    <n v="28"/>
    <n v="3600"/>
    <n v="100800"/>
  </r>
  <r>
    <x v="0"/>
    <x v="3"/>
    <s v="S24010105"/>
    <s v="WELDING HOLDER ARC 1000Amps"/>
    <s v="NOS"/>
    <n v="2"/>
    <n v="193.92500000000001"/>
    <n v="387.84906000000001"/>
  </r>
  <r>
    <x v="0"/>
    <x v="3"/>
    <s v="S24010106"/>
    <s v="WELDING CABLE COPPER 70 SQMM"/>
    <s v="MTR"/>
    <n v="25"/>
    <n v="427.93799999999999"/>
    <n v="10698.4375"/>
  </r>
  <r>
    <x v="0"/>
    <x v="3"/>
    <s v="S24020005"/>
    <s v="CUTTING NOZZLE 1/8'"/>
    <s v="NOS"/>
    <n v="15"/>
    <n v="209.87371428571399"/>
    <n v="3179.2985800000001"/>
  </r>
  <r>
    <x v="0"/>
    <x v="3"/>
    <s v="S24020053"/>
    <s v="GAS CUTTING TORCH SPARE KIT"/>
    <s v="SET"/>
    <n v="1"/>
    <n v="450"/>
    <n v="450"/>
  </r>
  <r>
    <x v="0"/>
    <x v="3"/>
    <s v="S25010080"/>
    <s v="Bearing 6316-C3"/>
    <s v="NOS"/>
    <n v="1"/>
    <n v="2937.2240000000002"/>
    <n v="2937.22442"/>
  </r>
  <r>
    <x v="0"/>
    <x v="3"/>
    <s v="S25010084"/>
    <s v="BALL BEARING 1212-K-TVH-C3"/>
    <s v="NOS"/>
    <n v="6"/>
    <n v="2015.2"/>
    <n v="12091.2"/>
  </r>
  <r>
    <x v="0"/>
    <x v="3"/>
    <s v="S25010156"/>
    <s v="Sleeve H-312"/>
    <s v="NOS"/>
    <n v="18"/>
    <n v="536.71600000000001"/>
    <n v="10000.04286"/>
  </r>
  <r>
    <x v="0"/>
    <x v="3"/>
    <s v="S25010160"/>
    <s v="Sleeve H-316"/>
    <s v="NOS"/>
    <n v="2"/>
    <n v="866.87699999999995"/>
    <n v="1733.75458"/>
  </r>
  <r>
    <x v="0"/>
    <x v="3"/>
    <s v="S25010212"/>
    <s v="SPHERCIAL PLAIN BEARING GE-60-ES"/>
    <s v="NOS"/>
    <n v="3"/>
    <n v="1179.8389999999999"/>
    <n v="3539.5166399999998"/>
  </r>
  <r>
    <x v="0"/>
    <x v="3"/>
    <s v="S25010213"/>
    <s v="SPHERICAL ROLLER BEARING 22220 CC/W33"/>
    <s v="NOS"/>
    <n v="2"/>
    <n v="7242.5110000000004"/>
    <n v="14485.021580000001"/>
  </r>
  <r>
    <x v="0"/>
    <x v="3"/>
    <s v="S25010243"/>
    <s v="ANGULAR CONTACT BALL BEARING 3212"/>
    <s v="NOS"/>
    <n v="2"/>
    <n v="8338.3430000000008"/>
    <n v="16676.685000000001"/>
  </r>
  <r>
    <x v="0"/>
    <x v="3"/>
    <s v="S25010253"/>
    <s v="BALL BEARING-6010"/>
    <s v="NOS"/>
    <n v="2"/>
    <n v="370.03899999999999"/>
    <n v="740.07856000000004"/>
  </r>
  <r>
    <x v="0"/>
    <x v="3"/>
    <s v="S25010290"/>
    <s v="BEARING 6318 C3"/>
    <s v="NOS"/>
    <n v="1"/>
    <n v="7366.674"/>
    <n v="7366.6742199999999"/>
  </r>
  <r>
    <x v="0"/>
    <x v="3"/>
    <s v="S26010148"/>
    <s v="METAL SCALE 1 MTR LENGTH"/>
    <s v="NOS"/>
    <n v="1"/>
    <n v="371.03300000000002"/>
    <n v="371.03262000000001"/>
  </r>
  <r>
    <x v="0"/>
    <x v="3"/>
    <s v="S26070155"/>
    <s v="PRESSURE GAUGE O-14KG/CM2,(DIAL 4') BOTTOM MOUNT TAP 3/8'"/>
    <s v="NOS"/>
    <n v="2"/>
    <n v="999.75"/>
    <n v="1999.5"/>
  </r>
  <r>
    <x v="0"/>
    <x v="3"/>
    <s v="S30010104"/>
    <s v="FILTER REGULATOR 1/4' NPT ,MODEL SB07-224-M1KN"/>
    <s v="PCS"/>
    <n v="2"/>
    <n v="962.48"/>
    <n v="1924.96"/>
  </r>
  <r>
    <x v="0"/>
    <x v="3"/>
    <s v="S30010111"/>
    <s v="RETURN LINE FILTER MODEL NUMBER :CE-250-025-53"/>
    <s v="NOS"/>
    <n v="1"/>
    <n v="538.5"/>
    <n v="538.5"/>
  </r>
  <r>
    <x v="0"/>
    <x v="3"/>
    <s v="S30010129"/>
    <s v="RETURN LINE FILTER ELEMENT MODEL NO -CE-630-025-S3"/>
    <s v="NOS"/>
    <n v="1"/>
    <n v="1072.7"/>
    <n v="1072.7"/>
  </r>
  <r>
    <x v="0"/>
    <x v="3"/>
    <s v="S30010133"/>
    <s v="AIR FILTER REGULATOR 3/4'' NPT MODEL :AW4000  MAX PRESSURE 10KGF/CM²"/>
    <s v="NOS"/>
    <n v="1"/>
    <n v="1466.4"/>
    <n v="1466.4"/>
  </r>
  <r>
    <x v="0"/>
    <x v="3"/>
    <s v="S30020094"/>
    <s v="SLIDE GATE HYDRAULIC CYLINDER SEAL"/>
    <s v="SET"/>
    <n v="2"/>
    <n v="2791.9479999999999"/>
    <n v="5583.8954599999997"/>
  </r>
  <r>
    <x v="0"/>
    <x v="3"/>
    <s v="S30020096"/>
    <s v="HYDRAULIC HOSE  25 MM ID x LENGTH 2200MM 1'BSP(F)BOTH END SWIVEL NUT"/>
    <s v="NOS"/>
    <n v="1"/>
    <n v="2553.8009999999999"/>
    <n v="2553.8005400000002"/>
  </r>
  <r>
    <x v="0"/>
    <x v="3"/>
    <s v="S30020106"/>
    <s v="PRESSURE GAUGE 4'' DIAL 0-160KG/CM², BCPM.GLY, FILLED"/>
    <s v="NOS"/>
    <n v="1"/>
    <n v="2263.482"/>
    <n v="2263.4816099999998"/>
  </r>
  <r>
    <x v="0"/>
    <x v="3"/>
    <s v="S30020176"/>
    <s v="WITHDRAWAL HYDRAULIC CYLINDER (EXIT) PISTON ROD  LENGTH-600 DIA-70MM"/>
    <s v="NOS"/>
    <n v="1"/>
    <n v="6953.4229999999998"/>
    <n v="6953.4234299999998"/>
  </r>
  <r>
    <x v="0"/>
    <x v="3"/>
    <s v="S30020177"/>
    <s v="WITHDRAWAL HYDRAULIC CYLINDER (ENTRY) PISTON ROD  LENGTH-500MM DIA-70MM"/>
    <s v="NOS"/>
    <n v="2"/>
    <n v="6073.2430000000004"/>
    <n v="12146.486489999999"/>
  </r>
  <r>
    <x v="0"/>
    <x v="3"/>
    <s v="S32010009"/>
    <s v="EP - 2 Grease"/>
    <s v="KG"/>
    <n v="360"/>
    <n v="238.322"/>
    <n v="85795.900200000004"/>
  </r>
  <r>
    <x v="0"/>
    <x v="3"/>
    <s v="S32010018"/>
    <s v="Hydralic Oil H - 68"/>
    <s v="LTR"/>
    <n v="420"/>
    <n v="192.49100000000001"/>
    <n v="80846.333400000003"/>
  </r>
  <r>
    <x v="0"/>
    <x v="3"/>
    <s v="S32010044"/>
    <s v="Diesel"/>
    <s v="LTR"/>
    <n v="36"/>
    <n v="101.485"/>
    <n v="3650.1871599999999"/>
  </r>
  <r>
    <x v="0"/>
    <x v="3"/>
    <s v="S32010055"/>
    <s v="HIGH TEMPERATURE BEARING GREASE -LGHP 2/5"/>
    <s v="KG"/>
    <n v="5"/>
    <n v="2122.0949999999998"/>
    <n v="10610.476699999999"/>
  </r>
  <r>
    <x v="0"/>
    <x v="3"/>
    <s v="S37010123"/>
    <s v="TAP HANDLE 12'"/>
    <s v="NOS"/>
    <n v="1"/>
    <n v="247.74299999999999"/>
    <n v="247.74279000000001"/>
  </r>
  <r>
    <x v="0"/>
    <x v="3"/>
    <s v="S37010124"/>
    <s v="TAP HANDLE 18'"/>
    <s v="NOS"/>
    <n v="1"/>
    <n v="491.99599999999998"/>
    <n v="491.99624"/>
  </r>
  <r>
    <x v="0"/>
    <x v="4"/>
    <s v="S01010011"/>
    <s v="WATER COOLED CABLE, 520 SQ.MM, IF SPARE"/>
    <s v="NOS"/>
    <n v="1"/>
    <n v="64145.245999999999"/>
    <n v="64145.246099999997"/>
  </r>
  <r>
    <x v="0"/>
    <x v="4"/>
    <s v="S01010014"/>
    <s v="TOP CASTING BLOCK, 30TON, JK, IF SPARE"/>
    <s v="NOS"/>
    <n v="8"/>
    <n v="27414.187999999998"/>
    <n v="219313.5"/>
  </r>
  <r>
    <x v="0"/>
    <x v="4"/>
    <s v="S01010016"/>
    <s v="TOP SS COIL 30T JK, M37680 LOW FREQUENCY, IF SPARE"/>
    <s v="NOS"/>
    <n v="1"/>
    <n v="81175.308000000005"/>
    <n v="81175.308019999997"/>
  </r>
  <r>
    <x v="0"/>
    <x v="4"/>
    <s v="S01010017"/>
    <s v="BOTTOM SS COIL 30T JK, M37680 LOW FREQUENCY,IF SPARE"/>
    <s v="NOS"/>
    <n v="1"/>
    <n v="101507.46"/>
    <n v="101507.46"/>
  </r>
  <r>
    <x v="0"/>
    <x v="4"/>
    <s v="S01010019"/>
    <s v="HYDRAULIC CYLINDER-SEAL KIT,ID 320, IF SPARE"/>
    <s v="SET"/>
    <n v="3"/>
    <n v="30661.332999999999"/>
    <n v="91984"/>
  </r>
  <r>
    <x v="0"/>
    <x v="4"/>
    <s v="S01010036"/>
    <s v="PUMP SEAL FOR DM PUMP INV, IF SPARE"/>
    <s v="NOS"/>
    <n v="5"/>
    <n v="1350"/>
    <n v="6750"/>
  </r>
  <r>
    <x v="0"/>
    <x v="4"/>
    <s v="S01010096"/>
    <s v="FLEXIBLE DRIVE GEAR COUPLING, MODEL NO-M-55,PART NO-0300, IF SPARE"/>
    <s v="SET"/>
    <n v="2"/>
    <n v="2049.9459999999999"/>
    <n v="4099.8917199999996"/>
  </r>
  <r>
    <x v="0"/>
    <x v="4"/>
    <s v="S01010137"/>
    <s v="UP CYLINDER 140X100 SEAL KIT FOR SLIDING BOOM PUSHER"/>
    <s v="SET"/>
    <n v="1"/>
    <n v="11300"/>
    <n v="11300"/>
  </r>
  <r>
    <x v="0"/>
    <x v="4"/>
    <s v="S01010139"/>
    <s v="DOWN CYLINDER 140X100 MM SEAL KIT FOR SLIDING BOOM PUSHER"/>
    <s v="SET"/>
    <n v="1"/>
    <n v="11300"/>
    <n v="11300"/>
  </r>
  <r>
    <x v="0"/>
    <x v="4"/>
    <s v="S01010183"/>
    <s v="NON FLEXIBLE MICA RING SHEET , OD-2000MM,ID-1900MM, THICKNESS-12MM."/>
    <s v="SET"/>
    <n v="7"/>
    <n v="5613.2430000000004"/>
    <n v="39292.697639999999"/>
  </r>
  <r>
    <x v="0"/>
    <x v="4"/>
    <s v="S01010198"/>
    <s v="NON FLEXIBLE MICA RING SHEET;OD-2000MM,ID-1920MM,THICKNESS-10MM"/>
    <s v="SET"/>
    <n v="5"/>
    <n v="3104"/>
    <n v="15520"/>
  </r>
  <r>
    <x v="0"/>
    <x v="4"/>
    <s v="S01010199"/>
    <s v="NON FLEXIBLE MICA RING SHEET; OD-2000MM,ID-1920MM, THICKNESS-12MM"/>
    <s v="SET"/>
    <n v="5"/>
    <n v="3783"/>
    <n v="18915"/>
  </r>
  <r>
    <x v="0"/>
    <x v="4"/>
    <s v="S01020005"/>
    <s v="CONTAINER SHEARING MACHINE  BLADES"/>
    <s v="NOS"/>
    <n v="8"/>
    <n v="39879.375"/>
    <n v="319035"/>
  </r>
  <r>
    <x v="0"/>
    <x v="4"/>
    <s v="S02010068"/>
    <s v="PULLEY 1876E B.B - PD630/720 FOR 80 MT EOT CRANE"/>
    <s v="NOS"/>
    <n v="2"/>
    <n v="43344"/>
    <n v="86688"/>
  </r>
  <r>
    <x v="0"/>
    <x v="4"/>
    <s v="S02010095"/>
    <s v="WIRE ROPE U CLAMP -24MM"/>
    <s v="NOS"/>
    <n v="8"/>
    <n v="80"/>
    <n v="640"/>
  </r>
  <r>
    <x v="0"/>
    <x v="4"/>
    <s v="S02010097"/>
    <s v="WIRE ROPE U CLAMP-18MM"/>
    <s v="NOS"/>
    <n v="10"/>
    <n v="87.058999999999997"/>
    <n v="870.58820000000003"/>
  </r>
  <r>
    <x v="0"/>
    <x v="4"/>
    <s v="S02010121"/>
    <s v="WIRE ROPE DIA 18MM 6X36 STEEL CORE, LENGTH-120M"/>
    <s v="NOS"/>
    <n v="3"/>
    <n v="32093.8856666666"/>
    <n v="96281.656350000005"/>
  </r>
  <r>
    <x v="0"/>
    <x v="4"/>
    <s v="S02010132"/>
    <s v="UPPER TIE ROD FOR NV-315"/>
    <s v="NOS"/>
    <n v="1"/>
    <n v="5746.5640000000003"/>
    <n v="5746.5641800000003"/>
  </r>
  <r>
    <x v="0"/>
    <x v="4"/>
    <s v="S02010162"/>
    <s v="WIRE ROPE DIA 20 MM, 6X36 STEEL CORE, LENGTH-190 METER"/>
    <s v="NOS"/>
    <n v="1"/>
    <n v="54665"/>
    <n v="54665"/>
  </r>
  <r>
    <x v="0"/>
    <x v="4"/>
    <s v="S02010169"/>
    <s v="WIRE ROPE DIA 20MM 6x36 STEEL CORE, LENGTH-72 MTR"/>
    <s v="NOS"/>
    <n v="1"/>
    <n v="22830.431"/>
    <n v="22830.431039999999"/>
  </r>
  <r>
    <x v="0"/>
    <x v="4"/>
    <s v="S02010252"/>
    <s v="WIRE ROPE DIA 18 MM 6X36 STEEL CORE, LENGTH-180 METER"/>
    <s v="NOS"/>
    <n v="2"/>
    <n v="46840"/>
    <n v="93680"/>
  </r>
  <r>
    <x v="0"/>
    <x v="4"/>
    <s v="S02010297"/>
    <s v="TIE BEAM SHAFT FOR 80/30TON EOT CRANE"/>
    <s v="NOS"/>
    <n v="2"/>
    <n v="16716"/>
    <n v="33432"/>
  </r>
  <r>
    <x v="0"/>
    <x v="4"/>
    <s v="S07010003"/>
    <s v="HIGH MANGANESE ROLLER CRUSHER BLADES MANGANESE (13.5%-14%)"/>
    <s v="SET"/>
    <n v="2"/>
    <n v="55000"/>
    <n v="110000"/>
  </r>
  <r>
    <x v="0"/>
    <x v="4"/>
    <s v="S07010006"/>
    <s v="HIGH MANGANESE GRINDING MILL BLADES MANGANESE(16%-19%),GRADE-7"/>
    <s v="SET"/>
    <n v="2"/>
    <n v="9800"/>
    <n v="19600"/>
  </r>
  <r>
    <x v="0"/>
    <x v="4"/>
    <s v="S07010009"/>
    <s v="JAW PLATE  SIZE :- 737MM X 600MM X 90MM (FIXED)"/>
    <s v="NOS"/>
    <n v="1"/>
    <n v="46380"/>
    <n v="46380"/>
  </r>
  <r>
    <x v="0"/>
    <x v="4"/>
    <s v="S07010010"/>
    <s v="JAW PLATE SIZE :- 812MM X 525MM X 90MM (MOVING)"/>
    <s v="NOS"/>
    <n v="1"/>
    <n v="46380"/>
    <n v="46380"/>
  </r>
  <r>
    <x v="0"/>
    <x v="4"/>
    <s v="S07010011"/>
    <s v="GRINDING MILL INNER LINING PLATE"/>
    <s v="SET"/>
    <n v="1"/>
    <n v="87555"/>
    <n v="87555"/>
  </r>
  <r>
    <x v="0"/>
    <x v="4"/>
    <s v="S07010019"/>
    <s v="GRINDING MILL BOTTOM LINING PLATE, ARC LENGTH-385 MM, WIDTH-330 MM"/>
    <s v="NOS"/>
    <n v="20"/>
    <n v="5007.8"/>
    <n v="100156"/>
  </r>
  <r>
    <x v="0"/>
    <x v="4"/>
    <s v="S08010180"/>
    <s v="ALLEN KEY BOLT (10 X35) MM, FULL THREADED"/>
    <s v="NOS"/>
    <n v="10"/>
    <n v="6.4969999999999999"/>
    <n v="64.971100000000007"/>
  </r>
  <r>
    <x v="0"/>
    <x v="4"/>
    <s v="S08010196"/>
    <s v="ALLEN BOLT M 8 X 30 MM"/>
    <s v="NOS"/>
    <n v="20"/>
    <n v="5.476"/>
    <n v="109.5198"/>
  </r>
  <r>
    <x v="0"/>
    <x v="4"/>
    <s v="S08050001"/>
    <s v="HT BOLT NUT, WITH DOUBLE WASHER, FULL THREAD, GR-8.8, M20X150MM"/>
    <s v="NOS"/>
    <n v="8"/>
    <n v="100.479"/>
    <n v="436.8485"/>
  </r>
  <r>
    <x v="0"/>
    <x v="4"/>
    <s v="S08050382"/>
    <s v="HT BOLT AND NUT WITH DOUBLE WASHER M25X150"/>
    <s v="SET"/>
    <n v="80"/>
    <n v="147.77350000000001"/>
    <n v="11810.311040000001"/>
  </r>
  <r>
    <x v="0"/>
    <x v="4"/>
    <s v="S08050383"/>
    <s v="HT BOLT AND NUT WITH DOUBLE WASHER M25X100"/>
    <s v="SET"/>
    <n v="28"/>
    <n v="88.394000000000005"/>
    <n v="2478.8774800000001"/>
  </r>
  <r>
    <x v="0"/>
    <x v="4"/>
    <s v="S08050412"/>
    <s v="HT BOLT M12 X 75 (BOLT,NUT,DOUBLE WASHER) FULL THREAD"/>
    <s v="SET"/>
    <n v="40"/>
    <n v="21.268000000000001"/>
    <n v="850.71807999999999"/>
  </r>
  <r>
    <x v="0"/>
    <x v="4"/>
    <s v="S08050415"/>
    <s v="HT BOLT M24 X 150 (BOLT,NUT,DOUBLE WASHER) FULL THREAD"/>
    <s v="SET"/>
    <n v="20"/>
    <n v="161.0565"/>
    <n v="3221.13706"/>
  </r>
  <r>
    <x v="0"/>
    <x v="4"/>
    <s v="S08050419"/>
    <s v="HT BOLT,NUT &amp; WASHER M30 x 200,FULL THREAD"/>
    <s v="SET"/>
    <n v="20"/>
    <n v="600.48625000000004"/>
    <n v="12067.1764"/>
  </r>
  <r>
    <x v="0"/>
    <x v="4"/>
    <s v="S08050453"/>
    <s v="HT HEX NUT, BOLT, WASHER M12 X 75"/>
    <s v="SET"/>
    <n v="6"/>
    <n v="20.875"/>
    <n v="125.2488"/>
  </r>
  <r>
    <x v="0"/>
    <x v="4"/>
    <s v="S08050462"/>
    <s v="HT CSK SLOTTED HEAD SCREW,SPRING WASHER &amp; NUT, M10 X 30"/>
    <s v="SET"/>
    <n v="86"/>
    <n v="9.5760000000000005"/>
    <n v="823.49472000000003"/>
  </r>
  <r>
    <x v="0"/>
    <x v="4"/>
    <s v="S08050470"/>
    <s v="HIGH TENSILE COUPLING BOLT(12X50MM) WITH SPRING WASHER AND NUT HALF THREAD (GRADE-8.8)"/>
    <s v="SET"/>
    <n v="25"/>
    <n v="36.71"/>
    <n v="917.75250000000005"/>
  </r>
  <r>
    <x v="0"/>
    <x v="4"/>
    <s v="S08050477"/>
    <s v="HT BOLT NUT WITH SPRING &amp; PLAIN WASHER M 16 MM X 200 MM"/>
    <s v="SET"/>
    <n v="10"/>
    <n v="99.400999999999996"/>
    <n v="994.01099999999997"/>
  </r>
  <r>
    <x v="0"/>
    <x v="4"/>
    <s v="S08050479"/>
    <s v="HT BOLT NUT WITH SPRING &amp; PLAIN WASHER M 22 MM X 75 MM"/>
    <s v="SET"/>
    <n v="40"/>
    <n v="97.094499999999996"/>
    <n v="3883.7808"/>
  </r>
  <r>
    <x v="0"/>
    <x v="4"/>
    <s v="S08050480"/>
    <s v="HT BOLT, NUT, WITH DOUBLE WASHER, M24 X 180 MM LENGTH, FULL THREADED"/>
    <s v="SET"/>
    <n v="15"/>
    <n v="185.1"/>
    <n v="2776.5"/>
  </r>
  <r>
    <x v="0"/>
    <x v="4"/>
    <s v="S08050487"/>
    <s v="HT BOLT WITH NUT ,SPRING &amp; PLAIN WASHER ,SIZE -M20 X 140 THREAD LENGTH-50MM"/>
    <s v="SET"/>
    <n v="1"/>
    <n v="98.438000000000002"/>
    <n v="98.437510000000003"/>
  </r>
  <r>
    <x v="0"/>
    <x v="4"/>
    <s v="S08070198"/>
    <s v="ALLEN KEY BOLT M 10X25 FULL THREADED"/>
    <s v="NOS"/>
    <n v="5"/>
    <n v="5.9089999999999998"/>
    <n v="29.545100000000001"/>
  </r>
  <r>
    <x v="0"/>
    <x v="4"/>
    <s v="S08070205"/>
    <s v="ALLEN KEY BOLT M 10X100 HALF THREADED"/>
    <s v="NOS"/>
    <n v="4"/>
    <n v="23.416"/>
    <n v="93.664000000000001"/>
  </r>
  <r>
    <x v="0"/>
    <x v="4"/>
    <s v="S08070223"/>
    <s v="MS BOLT AND NUT WITH DOUBLE WASHER M25X350"/>
    <s v="SET"/>
    <n v="6"/>
    <n v="173.03399999999999"/>
    <n v="1038.2030999999999"/>
  </r>
  <r>
    <x v="0"/>
    <x v="4"/>
    <s v="S08070251"/>
    <s v="MS WASHER - ID M16"/>
    <s v="KG"/>
    <n v="8"/>
    <n v="67.878"/>
    <n v="528.85578999999996"/>
  </r>
  <r>
    <x v="0"/>
    <x v="4"/>
    <s v="S08070304"/>
    <s v="MS HEX BOLT M8 X 30"/>
    <s v="KG"/>
    <n v="2"/>
    <n v="92.477000000000004"/>
    <n v="184.95411999999999"/>
  </r>
  <r>
    <x v="0"/>
    <x v="4"/>
    <s v="S08070305"/>
    <s v="MS HEX BOLT M8 X 50"/>
    <s v="KG"/>
    <n v="5"/>
    <n v="92.477000000000004"/>
    <n v="462.38529999999997"/>
  </r>
  <r>
    <x v="0"/>
    <x v="4"/>
    <s v="S08070306"/>
    <s v="MS HEX BOLT M10 X 50"/>
    <s v="KG"/>
    <n v="4"/>
    <n v="67.460999999999999"/>
    <n v="269.84571999999997"/>
  </r>
  <r>
    <x v="0"/>
    <x v="4"/>
    <s v="S08070312"/>
    <s v="MS HEX BOLT M12 X 50"/>
    <s v="KG"/>
    <n v="6"/>
    <n v="80.488"/>
    <n v="482.9271"/>
  </r>
  <r>
    <x v="0"/>
    <x v="4"/>
    <s v="S08070313"/>
    <s v="MS HEX BOLT M12 X 65"/>
    <s v="KG"/>
    <n v="3"/>
    <n v="68.198999999999998"/>
    <n v="204.59700000000001"/>
  </r>
  <r>
    <x v="0"/>
    <x v="4"/>
    <s v="S08070314"/>
    <s v="MS HEX BOLT M12 X 75"/>
    <s v="KG"/>
    <n v="2"/>
    <n v="82.2"/>
    <n v="164.4"/>
  </r>
  <r>
    <x v="0"/>
    <x v="4"/>
    <s v="S08070315"/>
    <s v="MS HEX BOLT M16 X 100"/>
    <s v="KG"/>
    <n v="8.5"/>
    <n v="77.847499999999997"/>
    <n v="652.46438999999998"/>
  </r>
  <r>
    <x v="0"/>
    <x v="4"/>
    <s v="S08070316"/>
    <s v="MS HEX BOLT M16 X 150"/>
    <s v="KG"/>
    <n v="14.5"/>
    <n v="77.296999999999997"/>
    <n v="1120.8001200000001"/>
  </r>
  <r>
    <x v="0"/>
    <x v="4"/>
    <s v="S08070321"/>
    <s v="MS HEX BOLT M16 X 75"/>
    <s v="KG"/>
    <n v="10"/>
    <n v="81.802999999999997"/>
    <n v="818.02539999999999"/>
  </r>
  <r>
    <x v="0"/>
    <x v="4"/>
    <s v="S08070322"/>
    <s v="MS HEX BOLT M20 X 100"/>
    <s v="KG"/>
    <n v="9"/>
    <n v="74.846999999999994"/>
    <n v="673.61895000000004"/>
  </r>
  <r>
    <x v="0"/>
    <x v="4"/>
    <s v="S08070327"/>
    <s v="MS HEX BOLT M20 X 75"/>
    <s v="KG"/>
    <n v="18.5"/>
    <n v="65.184666666666601"/>
    <n v="1203.1803600000001"/>
  </r>
  <r>
    <x v="0"/>
    <x v="4"/>
    <s v="S08070328"/>
    <s v="MS HEX BOLT M24 X 100"/>
    <s v="KG"/>
    <n v="26"/>
    <n v="83.675200000000004"/>
    <n v="2177.02045"/>
  </r>
  <r>
    <x v="0"/>
    <x v="4"/>
    <s v="S08070331"/>
    <s v="MS HEX NUT M8"/>
    <s v="KG"/>
    <n v="3.45"/>
    <n v="97.614999999999995"/>
    <n v="336.77064999999999"/>
  </r>
  <r>
    <x v="0"/>
    <x v="4"/>
    <s v="S08070332"/>
    <s v="MS HEX NUT M10"/>
    <s v="KG"/>
    <n v="2"/>
    <n v="83.272999999999996"/>
    <n v="166.54532"/>
  </r>
  <r>
    <x v="0"/>
    <x v="4"/>
    <s v="S08070333"/>
    <s v="MS HEX NUT M12"/>
    <s v="KG"/>
    <n v="5.5"/>
    <n v="83.563999999999993"/>
    <n v="459.60117000000002"/>
  </r>
  <r>
    <x v="0"/>
    <x v="4"/>
    <s v="S08070334"/>
    <s v="MS HEX NUT M16"/>
    <s v="KG"/>
    <n v="12.5"/>
    <n v="84.640199999999993"/>
    <n v="1071.4531300000001"/>
  </r>
  <r>
    <x v="0"/>
    <x v="4"/>
    <s v="S08070335"/>
    <s v="MS HEX NUT M20"/>
    <s v="KG"/>
    <n v="18"/>
    <n v="80.486800000000002"/>
    <n v="1470.5271"/>
  </r>
  <r>
    <x v="0"/>
    <x v="4"/>
    <s v="S08070336"/>
    <s v="MS PLAIN WASHER 8MM"/>
    <s v="KG"/>
    <n v="2.7"/>
    <n v="97.614999999999995"/>
    <n v="263.55964"/>
  </r>
  <r>
    <x v="0"/>
    <x v="4"/>
    <s v="S08070338"/>
    <s v="MS PLAIN WASHER 20MM"/>
    <s v="KG"/>
    <n v="12.5"/>
    <n v="73.272000000000006"/>
    <n v="915.90575000000001"/>
  </r>
  <r>
    <x v="0"/>
    <x v="4"/>
    <s v="S08070339"/>
    <s v="MS PLAIN WASHER 24MM"/>
    <s v="KG"/>
    <n v="5.5"/>
    <n v="77.741"/>
    <n v="427.57814000000002"/>
  </r>
  <r>
    <x v="0"/>
    <x v="4"/>
    <s v="S08070347"/>
    <s v="MS HEX BOLT 30X300MM"/>
    <s v="KG"/>
    <n v="4"/>
    <n v="108.17700000000001"/>
    <n v="432.70663999999999"/>
  </r>
  <r>
    <x v="0"/>
    <x v="4"/>
    <s v="S08070348"/>
    <s v="MS HEX NUT 30MM"/>
    <s v="KG"/>
    <n v="4"/>
    <n v="97.613"/>
    <n v="390.45112"/>
  </r>
  <r>
    <x v="0"/>
    <x v="4"/>
    <s v="S08080335"/>
    <s v="GRUB SCREW, SIZE- M8X20 (GRADE-10.9)"/>
    <s v="NOS"/>
    <n v="5"/>
    <n v="2.6749999999999998"/>
    <n v="13.37255"/>
  </r>
  <r>
    <x v="0"/>
    <x v="4"/>
    <s v="S08080336"/>
    <s v="GRUB SCREW, SIZE- M10X20 (GRADE-10.9)"/>
    <s v="NOS"/>
    <n v="5"/>
    <n v="3.6720000000000002"/>
    <n v="18.36"/>
  </r>
  <r>
    <x v="0"/>
    <x v="4"/>
    <s v="S08090183"/>
    <s v="HEX BOLT, SS 304, M10X40, FULL THREAD WITH NUT &amp; DOUBLE WASHER"/>
    <s v="SET"/>
    <n v="10"/>
    <n v="14.196999999999999"/>
    <n v="141.96549999999999"/>
  </r>
  <r>
    <x v="0"/>
    <x v="4"/>
    <s v="S08090185"/>
    <s v="HEX BOLT, SS 304, M10X75, FULL THREAD WITH NUT &amp; DOUBLE WASHER"/>
    <s v="SET"/>
    <n v="70"/>
    <n v="19.353999999999999"/>
    <n v="1354.7737"/>
  </r>
  <r>
    <x v="0"/>
    <x v="4"/>
    <s v="S08090188"/>
    <s v="HEX BOLT, SS 304, M12X40, FULL THREAD WITH NUT &amp; DOUBLE WASHER"/>
    <s v="SET"/>
    <n v="35"/>
    <n v="19.672999999999998"/>
    <n v="688.54485"/>
  </r>
  <r>
    <x v="0"/>
    <x v="4"/>
    <s v="S08090189"/>
    <s v="HEX BOLT, SS 304, M12X60, FULL THREAD WITH NUT &amp; DOUBLE WASHER"/>
    <s v="SET"/>
    <n v="60"/>
    <n v="21.050999999999998"/>
    <n v="1263.0842700000001"/>
  </r>
  <r>
    <x v="0"/>
    <x v="4"/>
    <s v="S08090193"/>
    <s v="HEX BOLT, SS 304, M12X150, FULL THREAD WITH NUT &amp; DOUBLE WASHER"/>
    <s v="SET"/>
    <n v="10"/>
    <n v="48.319000000000003"/>
    <n v="483.19029999999998"/>
  </r>
  <r>
    <x v="0"/>
    <x v="4"/>
    <s v="S08090196"/>
    <s v="HEX BOLT, SS 304, M16X75, FULL THREAD WITH NUT &amp; DOUBLE WASHER"/>
    <s v="SET"/>
    <n v="6"/>
    <n v="56.363999999999997"/>
    <n v="338.18178"/>
  </r>
  <r>
    <x v="0"/>
    <x v="4"/>
    <s v="S08090197"/>
    <s v="HEX BOLT, SS 304, M16X100, FULL THREAD WITH NUT &amp; DOUBLE WASHER"/>
    <s v="SET"/>
    <n v="6"/>
    <n v="60.326000000000001"/>
    <n v="361.95330000000001"/>
  </r>
  <r>
    <x v="0"/>
    <x v="4"/>
    <s v="S08090207"/>
    <s v="SS 304 BOLT, NUT, 2 PLAIN WASHER &amp; 1 SPRING WASHER, M 10 X 50 MM"/>
    <s v="SET"/>
    <n v="40"/>
    <n v="14.2"/>
    <n v="568"/>
  </r>
  <r>
    <x v="0"/>
    <x v="4"/>
    <s v="S08090208"/>
    <s v="SS 304 BOLT, NUT, 2 PLAIN WASHER &amp; 1 SPRING WASHER, M 12 X 50 MM"/>
    <s v="SET"/>
    <n v="40"/>
    <n v="14.007"/>
    <n v="560.26"/>
  </r>
  <r>
    <x v="0"/>
    <x v="4"/>
    <s v="S08090209"/>
    <s v="SS 304 BOLT, NUT, 2 PLAIN WASHER &amp; 1 SPRING WASHER, M 12 X 65 MM"/>
    <s v="SET"/>
    <n v="110"/>
    <n v="22.954999999999998"/>
    <n v="2413.4122000000002"/>
  </r>
  <r>
    <x v="0"/>
    <x v="4"/>
    <s v="S08090214"/>
    <s v="SS BOLT M 10 X 65 MM FULL THREADED WITH SINGLE NUT AND DOUBLE WASHER"/>
    <s v="SET"/>
    <n v="25"/>
    <n v="15"/>
    <n v="375"/>
  </r>
  <r>
    <x v="0"/>
    <x v="4"/>
    <s v="S08090218"/>
    <s v="SS BOLT M24X400  HALF THREADED, DOUBLE NUT &amp; WASHER"/>
    <s v="SET"/>
    <n v="14"/>
    <n v="660.53599999999994"/>
    <n v="9247.5005000000001"/>
  </r>
  <r>
    <x v="0"/>
    <x v="4"/>
    <s v="S08090219"/>
    <s v="HEX BOLT, SS 304, M14X60, FULL THREAD WITH NUT &amp; DOUBLE WASHER"/>
    <s v="SET"/>
    <n v="10"/>
    <n v="53.6"/>
    <n v="536"/>
  </r>
  <r>
    <x v="0"/>
    <x v="4"/>
    <s v="S11010353"/>
    <s v="GI Nipples 1/2'' x 6''"/>
    <s v="NOS"/>
    <n v="2"/>
    <n v="24.5"/>
    <n v="49"/>
  </r>
  <r>
    <x v="0"/>
    <x v="4"/>
    <s v="S11010471"/>
    <s v="MS Sockets 1/2 "/>
    <s v="NOS"/>
    <n v="3"/>
    <n v="18.393000000000001"/>
    <n v="55.177680000000002"/>
  </r>
  <r>
    <x v="0"/>
    <x v="4"/>
    <s v="S11010825"/>
    <s v="Butterfly Valve 100mm"/>
    <s v="NOS"/>
    <n v="1"/>
    <n v="2372.0169999999998"/>
    <n v="2372.0168399999998"/>
  </r>
  <r>
    <x v="0"/>
    <x v="4"/>
    <s v="S11010838"/>
    <s v="C.S Ball Valve  3/4''"/>
    <s v="NOS"/>
    <n v="3"/>
    <n v="1022.26"/>
    <n v="3066.78"/>
  </r>
  <r>
    <x v="0"/>
    <x v="4"/>
    <s v="S11010839"/>
    <s v="C.S Ball Valve 1"/>
    <s v="NOS"/>
    <n v="1"/>
    <n v="669"/>
    <n v="669"/>
  </r>
  <r>
    <x v="0"/>
    <x v="4"/>
    <s v="S11010840"/>
    <s v="C.S Ball Valve 1/2"/>
    <s v="NOS"/>
    <n v="2"/>
    <n v="515"/>
    <n v="1030"/>
  </r>
  <r>
    <x v="0"/>
    <x v="4"/>
    <s v="S11010841"/>
    <s v="C.S Ball Valve 11/2"/>
    <s v="NOS"/>
    <n v="2"/>
    <n v="1045.9380000000001"/>
    <n v="2091.875"/>
  </r>
  <r>
    <x v="0"/>
    <x v="4"/>
    <s v="S11010887"/>
    <s v="SS 304  Ball Valve 1/2''"/>
    <s v="NOS"/>
    <n v="2"/>
    <n v="280"/>
    <n v="559.99999000000003"/>
  </r>
  <r>
    <x v="0"/>
    <x v="4"/>
    <s v="S11010890"/>
    <s v="SS Ball Valve 1/4"/>
    <s v="NOS"/>
    <n v="2"/>
    <n v="273.99099999999999"/>
    <n v="547.98289999999997"/>
  </r>
  <r>
    <x v="0"/>
    <x v="4"/>
    <s v="S11011013"/>
    <s v="Lift Chain block 3 Ton x 10 Mtr"/>
    <s v="NOS"/>
    <n v="2"/>
    <n v="26745.119999999999"/>
    <n v="53490.239999999998"/>
  </r>
  <r>
    <x v="0"/>
    <x v="4"/>
    <s v="S11011017"/>
    <s v="Paint Brush 3"/>
    <s v="NOS"/>
    <n v="8"/>
    <n v="93.4"/>
    <n v="747.19714999999997"/>
  </r>
  <r>
    <x v="0"/>
    <x v="4"/>
    <s v="S11011021"/>
    <s v="Black Paint"/>
    <s v="LTR"/>
    <n v="20"/>
    <n v="176.27600000000001"/>
    <n v="3525.51415"/>
  </r>
  <r>
    <x v="0"/>
    <x v="4"/>
    <s v="S11011032"/>
    <s v="Paint Brush 100mm"/>
    <s v="NOS"/>
    <n v="6"/>
    <n v="135.65700000000001"/>
    <n v="813.94176000000004"/>
  </r>
  <r>
    <x v="0"/>
    <x v="4"/>
    <s v="S11011033"/>
    <s v="Paint Brush 2 "/>
    <s v="NOS"/>
    <n v="11"/>
    <n v="39.590000000000003"/>
    <n v="433.11365000000001"/>
  </r>
  <r>
    <x v="0"/>
    <x v="4"/>
    <s v="S11011036"/>
    <s v="Paint Rollers"/>
    <s v="NOS"/>
    <n v="4"/>
    <n v="115.616"/>
    <n v="462.46596"/>
  </r>
  <r>
    <x v="0"/>
    <x v="4"/>
    <s v="S11011042"/>
    <s v="Red Oxide Zinc Chromate Primer Paint"/>
    <s v="LTR"/>
    <n v="20"/>
    <n v="92.38"/>
    <n v="1847.5952"/>
  </r>
  <r>
    <x v="0"/>
    <x v="4"/>
    <s v="S11011045"/>
    <s v="Signal Red Paint"/>
    <s v="LTR"/>
    <n v="20"/>
    <n v="175.38399999999999"/>
    <n v="3507.6756"/>
  </r>
  <r>
    <x v="0"/>
    <x v="4"/>
    <s v="S11011047"/>
    <s v="Smoke Grey Paint"/>
    <s v="LTR"/>
    <n v="40"/>
    <n v="171.95"/>
    <n v="6878"/>
  </r>
  <r>
    <x v="0"/>
    <x v="4"/>
    <s v="S11011123"/>
    <s v="Pad Lock 65 mm"/>
    <s v="NOS"/>
    <n v="1"/>
    <n v="99.519000000000005"/>
    <n v="99.518709999999999"/>
  </r>
  <r>
    <x v="0"/>
    <x v="4"/>
    <s v="S11020151"/>
    <s v="JUBILEE CLAMP,SS,SIZE-3'"/>
    <s v="NOS"/>
    <n v="50"/>
    <n v="60.765000000000001"/>
    <n v="3038.2354999999998"/>
  </r>
  <r>
    <x v="0"/>
    <x v="4"/>
    <s v="S11020225"/>
    <s v="JUBILEE CLAMP,SS,SIZE-1/2'"/>
    <s v="NOS"/>
    <n v="50"/>
    <n v="46.8"/>
    <n v="2340"/>
  </r>
  <r>
    <x v="0"/>
    <x v="4"/>
    <s v="S11020438"/>
    <s v="NYLON BRAIDED AIR HOSE PIPE 3/8'"/>
    <s v="MTR"/>
    <n v="18"/>
    <n v="46.28"/>
    <n v="833.04265999999996"/>
  </r>
  <r>
    <x v="0"/>
    <x v="4"/>
    <s v="S11020441"/>
    <s v="MS NIPPLE 1/2'"/>
    <s v="NOS"/>
    <n v="2"/>
    <n v="16"/>
    <n v="32"/>
  </r>
  <r>
    <x v="0"/>
    <x v="4"/>
    <s v="S11020732"/>
    <s v="HEX NIPPLE, SS, C-CLASS, NB-1'"/>
    <s v="NOS"/>
    <n v="1"/>
    <n v="135"/>
    <n v="135"/>
  </r>
  <r>
    <x v="0"/>
    <x v="4"/>
    <s v="S11020777"/>
    <s v="CARBON FREE HOSE PIPE -ID 25MM"/>
    <s v="MTR"/>
    <n v="109"/>
    <n v="277.86700000000002"/>
    <n v="30287.466390000001"/>
  </r>
  <r>
    <x v="0"/>
    <x v="4"/>
    <s v="S11020837"/>
    <s v="MS PIPE NIPPLE, THREADED, SIZE : OD 1 1/2' X 6' LONG"/>
    <s v="NOS"/>
    <n v="10"/>
    <n v="38.747999999999998"/>
    <n v="387.4794"/>
  </r>
  <r>
    <x v="0"/>
    <x v="4"/>
    <s v="S11020903"/>
    <s v="CARBON FREE HOSE PIPE 2-1/2 INCH (63.5MM) 200 PSI (1.38MPA)"/>
    <s v="MTR"/>
    <n v="20"/>
    <n v="827.59"/>
    <n v="16551.796200000001"/>
  </r>
  <r>
    <x v="0"/>
    <x v="4"/>
    <s v="S11021042"/>
    <s v="M.S. PIPE BARREL NIPPLE MALE SIZE 1/2''X4'"/>
    <s v="NOS"/>
    <n v="2"/>
    <n v="11.584"/>
    <n v="23.16798"/>
  </r>
  <r>
    <x v="0"/>
    <x v="4"/>
    <s v="S11021130"/>
    <s v="SMC FITTINGS ID-12MM"/>
    <s v="NOS"/>
    <n v="10"/>
    <n v="226.99799999999999"/>
    <n v="2269.9845"/>
  </r>
  <r>
    <x v="0"/>
    <x v="4"/>
    <s v="S11021220"/>
    <s v="HYDRAULIC HEX NIPPLE 3/8'' BSP"/>
    <s v="NOS"/>
    <n v="2"/>
    <n v="35.215000000000003"/>
    <n v="70.429559999999995"/>
  </r>
  <r>
    <x v="0"/>
    <x v="4"/>
    <s v="S11021290"/>
    <s v="BRASS REDUCING HEX NIPPLE 3/8' BSP(M) X 1/4' NPT(M)"/>
    <s v="NOS"/>
    <n v="2"/>
    <n v="51.384999999999998"/>
    <n v="102.77007999999999"/>
  </r>
  <r>
    <x v="0"/>
    <x v="4"/>
    <s v="S11040916"/>
    <s v="SS GLOBE VALVE 1', SOCKET WELD TYPE"/>
    <s v="NOS"/>
    <n v="1"/>
    <n v="1325"/>
    <n v="1325"/>
  </r>
  <r>
    <x v="0"/>
    <x v="4"/>
    <s v="S11040996"/>
    <s v="DUAL CHECK NRV WAFER TYPE CLASS 150 SIZE -4'"/>
    <s v="NOS"/>
    <n v="1"/>
    <n v="3213.4560000000001"/>
    <n v="3213.45624"/>
  </r>
  <r>
    <x v="0"/>
    <x v="4"/>
    <s v="S11041022"/>
    <s v="NRV 6' SWING TYPE WATER LINE"/>
    <s v="NOS"/>
    <n v="4"/>
    <n v="13867.429"/>
    <n v="55469.717519999998"/>
  </r>
  <r>
    <x v="0"/>
    <x v="4"/>
    <s v="S11081018"/>
    <s v="LIFT CHAIN BLOCK 1 TON X 10 MTR"/>
    <s v="NOS"/>
    <n v="2"/>
    <n v="15024"/>
    <n v="30048"/>
  </r>
  <r>
    <x v="0"/>
    <x v="4"/>
    <s v="S11081040"/>
    <s v="WIRE ROPE PULLEY - 10 TON CAPACITY, TYPE-SINGLE WHEEL PULLEY. EXTRA HEAVY DUTY."/>
    <s v="NOS"/>
    <n v="1"/>
    <n v="7380"/>
    <n v="7380"/>
  </r>
  <r>
    <x v="0"/>
    <x v="4"/>
    <s v="S11090001"/>
    <s v="THINNER"/>
    <s v="LTR"/>
    <n v="80"/>
    <n v="115.85875"/>
    <n v="9268.6893"/>
  </r>
  <r>
    <x v="0"/>
    <x v="4"/>
    <s v="S11090004"/>
    <s v="YELLOW PAINT"/>
    <s v="LTR"/>
    <n v="100"/>
    <n v="174.15825000000001"/>
    <n v="17502.896400000001"/>
  </r>
  <r>
    <x v="0"/>
    <x v="4"/>
    <s v="S11090005"/>
    <s v="DEEP BLUE PAINT"/>
    <s v="LTR"/>
    <n v="20"/>
    <n v="182.81100000000001"/>
    <n v="3656.21"/>
  </r>
  <r>
    <x v="0"/>
    <x v="4"/>
    <s v="S11101169"/>
    <s v="DIRECTIONAL CONTROL VALVE,MODEL NO-4WE10G30/CRA220N9K4Z5LS,"/>
    <s v="NOS"/>
    <n v="1"/>
    <n v="6030"/>
    <n v="6030"/>
  </r>
  <r>
    <x v="0"/>
    <x v="4"/>
    <s v="S11170046"/>
    <s v="SUPER CHARGE RESIN FOR DM WATER"/>
    <s v="LTR"/>
    <n v="6"/>
    <n v="442.77800000000002"/>
    <n v="2656.6666799999998"/>
  </r>
  <r>
    <x v="0"/>
    <x v="4"/>
    <s v="S12010026"/>
    <s v="Belt Fastners 2"/>
    <s v="BOX"/>
    <n v="9"/>
    <n v="272"/>
    <n v="2448"/>
  </r>
  <r>
    <x v="0"/>
    <x v="4"/>
    <s v="S12010064"/>
    <s v="Anchor Bolt M 10 X 75 MM"/>
    <s v="NOS"/>
    <n v="35"/>
    <n v="9.2949999999999999"/>
    <n v="325.3159"/>
  </r>
  <r>
    <x v="0"/>
    <x v="4"/>
    <s v="S12010070"/>
    <s v="MS Washer M 12"/>
    <s v="KG"/>
    <n v="13.5"/>
    <n v="75.042000000000002"/>
    <n v="1013.07092"/>
  </r>
  <r>
    <x v="0"/>
    <x v="4"/>
    <s v="S12010097"/>
    <s v="HT Bolt, Nut, Washer M 16 X 65 MM"/>
    <s v="NOS"/>
    <n v="16"/>
    <n v="38.399000000000001"/>
    <n v="614.38576"/>
  </r>
  <r>
    <x v="0"/>
    <x v="4"/>
    <s v="S12010099"/>
    <s v="MS Bolt, Nut, Washer M 16 X 65 MM"/>
    <s v="KG"/>
    <n v="10"/>
    <n v="71.489000000000004"/>
    <n v="714.88919999999996"/>
  </r>
  <r>
    <x v="0"/>
    <x v="4"/>
    <s v="S12010109"/>
    <s v="MS Bolt, Nut, Washer M 20 X 50 MM"/>
    <s v="KG"/>
    <n v="8"/>
    <n v="90.849000000000004"/>
    <n v="726.78848000000005"/>
  </r>
  <r>
    <x v="0"/>
    <x v="4"/>
    <s v="S12010119"/>
    <s v="MS NUT M 24"/>
    <s v="KG"/>
    <n v="11.5"/>
    <n v="93.872249999999994"/>
    <n v="1080.194"/>
  </r>
  <r>
    <x v="0"/>
    <x v="4"/>
    <s v="S12010174"/>
    <s v="SS Bolt, Nut, Washer M 8 X 50 MM"/>
    <s v="NOS"/>
    <n v="26"/>
    <n v="8.0790000000000006"/>
    <n v="210.04125999999999"/>
  </r>
  <r>
    <x v="0"/>
    <x v="4"/>
    <s v="S12010200"/>
    <s v="Cutting Wheel AG4"/>
    <s v="NOS"/>
    <n v="120"/>
    <n v="11.2551666666666"/>
    <n v="1350.6659500000001"/>
  </r>
  <r>
    <x v="0"/>
    <x v="4"/>
    <s v="S12010203"/>
    <s v="Grinding Wheel AG 7"/>
    <s v="NOS"/>
    <n v="30"/>
    <n v="73.759333333333302"/>
    <n v="2212.7809999999999"/>
  </r>
  <r>
    <x v="0"/>
    <x v="4"/>
    <s v="S12010205"/>
    <s v="Bench Grinding Wheel Rough"/>
    <s v="NOS"/>
    <n v="1"/>
    <n v="570"/>
    <n v="570"/>
  </r>
  <r>
    <x v="0"/>
    <x v="4"/>
    <s v="S12010207"/>
    <s v="Buffing Wheel AG-4"/>
    <s v="NOS"/>
    <n v="65"/>
    <n v="22.532285714285699"/>
    <n v="1464.1401000000001"/>
  </r>
  <r>
    <x v="0"/>
    <x v="4"/>
    <s v="S12010208"/>
    <s v="Cutting Wheel 14"/>
    <s v="NOS"/>
    <n v="10"/>
    <n v="107.193"/>
    <n v="1071.92965"/>
  </r>
  <r>
    <x v="0"/>
    <x v="4"/>
    <s v="S12010214"/>
    <s v="Grinding Wheel AG-4"/>
    <s v="NOS"/>
    <n v="20"/>
    <n v="30.463000000000001"/>
    <n v="609.25930000000005"/>
  </r>
  <r>
    <x v="0"/>
    <x v="4"/>
    <s v="S12010220"/>
    <s v="Pipe Wrench 24 (600 mm)"/>
    <s v="NOS"/>
    <n v="1"/>
    <n v="760.5"/>
    <n v="760.5"/>
  </r>
  <r>
    <x v="0"/>
    <x v="4"/>
    <s v="S12010227"/>
    <s v="Allen Key Set( size - inc)"/>
    <s v="SET"/>
    <n v="1"/>
    <n v="149.6"/>
    <n v="149.6"/>
  </r>
  <r>
    <x v="0"/>
    <x v="4"/>
    <s v="S12010228"/>
    <s v="Allen Key Set(size - mm)"/>
    <s v="SET"/>
    <n v="2"/>
    <n v="192.82"/>
    <n v="385.64066000000003"/>
  </r>
  <r>
    <x v="0"/>
    <x v="4"/>
    <s v="S12010242"/>
    <s v="DE Spanner 20 x 22"/>
    <s v="NOS"/>
    <n v="1"/>
    <n v="56.287999999999997"/>
    <n v="56.288490000000003"/>
  </r>
  <r>
    <x v="0"/>
    <x v="4"/>
    <s v="S12010256"/>
    <s v="Measurement Tape 3 Mtr"/>
    <s v="NOS"/>
    <n v="2"/>
    <n v="46.093000000000004"/>
    <n v="92.185820000000007"/>
  </r>
  <r>
    <x v="0"/>
    <x v="4"/>
    <s v="S12010257"/>
    <s v="Measurement tape 5 Mtr"/>
    <s v="NOS"/>
    <n v="3"/>
    <n v="71.221666666666593"/>
    <n v="214.56100000000001"/>
  </r>
  <r>
    <x v="0"/>
    <x v="4"/>
    <s v="S12010311"/>
    <s v="Anabond 666 T"/>
    <s v="NOS"/>
    <n v="21"/>
    <n v="159.43233333333299"/>
    <n v="3317.9186500000001"/>
  </r>
  <r>
    <x v="0"/>
    <x v="4"/>
    <s v="S12010312"/>
    <s v="Araldite"/>
    <s v="NOS"/>
    <n v="7"/>
    <n v="317.89949999999999"/>
    <n v="2171.0863300000001"/>
  </r>
  <r>
    <x v="0"/>
    <x v="4"/>
    <s v="S12010318"/>
    <s v="Fevicol"/>
    <s v="KG"/>
    <n v="3"/>
    <n v="471.66699999999997"/>
    <n v="1415.00001"/>
  </r>
  <r>
    <x v="0"/>
    <x v="4"/>
    <s v="S12010319"/>
    <s v="M-seal"/>
    <s v="KG"/>
    <n v="9"/>
    <n v="222.477"/>
    <n v="2004.43586"/>
  </r>
  <r>
    <x v="0"/>
    <x v="4"/>
    <s v="S12010351"/>
    <s v="RAIL CLAMP FOR CR100 RAIL"/>
    <s v="NOS"/>
    <n v="20"/>
    <n v="319.28100000000001"/>
    <n v="6385.6135999999997"/>
  </r>
  <r>
    <x v="0"/>
    <x v="4"/>
    <s v="S12020221"/>
    <s v="BENCH GRINDING WHEEL SIZE: 25 MM THICKNESS X 32 MM ID X 200 MM OD, GRADE - G C G 60 ( GREEN WHEEL)"/>
    <s v="NOS"/>
    <n v="1"/>
    <n v="680"/>
    <n v="680"/>
  </r>
  <r>
    <x v="0"/>
    <x v="4"/>
    <s v="S12030340"/>
    <s v="STAINLESS STEEL HSS CENTRE DRILL BITS,- 3/8' X 75 MM "/>
    <s v="NOS"/>
    <n v="2"/>
    <n v="349.16"/>
    <n v="698.32"/>
  </r>
  <r>
    <x v="0"/>
    <x v="4"/>
    <s v="S12030341"/>
    <s v="STAINLESS STEEL HSS CENTRE DRILL BITS - 1/2' X 75 MM"/>
    <s v="NOS"/>
    <n v="1"/>
    <n v="591.6"/>
    <n v="591.6"/>
  </r>
  <r>
    <x v="0"/>
    <x v="4"/>
    <s v="S12040024"/>
    <s v="HACKSAW FRAME WITH BLADE 12 INCH TAPARIA"/>
    <s v="NOS"/>
    <n v="1"/>
    <n v="181.5"/>
    <n v="181.5"/>
  </r>
  <r>
    <x v="0"/>
    <x v="4"/>
    <s v="S12040072"/>
    <s v="DOUBLE PLY WEBBING SLINGS FLAT BELT 50MM 5METER  (LIFTING CAPACITY : 3 TON)"/>
    <s v="NOS"/>
    <n v="1"/>
    <n v="429.005"/>
    <n v="429.00459000000001"/>
  </r>
  <r>
    <x v="0"/>
    <x v="4"/>
    <s v="S12040319"/>
    <s v="WIRE ROPE DIA DIA 18MM 6X36 STEEL CORE, LENGTH-160M"/>
    <s v="NOS"/>
    <n v="1"/>
    <n v="38850"/>
    <n v="38850"/>
  </r>
  <r>
    <x v="0"/>
    <x v="4"/>
    <s v="S12040416"/>
    <s v="PENCIL GRINDING WHEEL CYLINDRICAL- 20 X 60 X 6"/>
    <s v="NOS"/>
    <n v="5"/>
    <n v="47.475000000000001"/>
    <n v="237.37610000000001"/>
  </r>
  <r>
    <x v="0"/>
    <x v="4"/>
    <s v="S12040455"/>
    <s v="DRILL SOCKET 5-6 NO."/>
    <s v="NOS"/>
    <n v="1"/>
    <n v="2303.5459999999998"/>
    <n v="2303.5461"/>
  </r>
  <r>
    <x v="0"/>
    <x v="4"/>
    <s v="S12040503"/>
    <s v="WHITE TOOL 1/2'' X 6''"/>
    <s v="NOS"/>
    <n v="1"/>
    <n v="1968.3140000000001"/>
    <n v="1968.31405"/>
  </r>
  <r>
    <x v="0"/>
    <x v="4"/>
    <s v="S12040520"/>
    <s v="CARBIDE TOOL BIT V SHAPE 12 MM"/>
    <s v="NOS"/>
    <n v="2"/>
    <n v="573.42899999999997"/>
    <n v="1146.8588400000001"/>
  </r>
  <r>
    <x v="0"/>
    <x v="4"/>
    <s v="S12040536"/>
    <s v="DRILL BIT 36 MM, TAPPER SHANK"/>
    <s v="NOS"/>
    <n v="1"/>
    <n v="7457.1229999999996"/>
    <n v="7457.1228700000001"/>
  </r>
  <r>
    <x v="0"/>
    <x v="4"/>
    <s v="S12040584"/>
    <s v="CARBIDE TOOL BIT RIGHT SIDE 12 MM"/>
    <s v="NOS"/>
    <n v="6"/>
    <n v="578.26300000000003"/>
    <n v="3469.5802800000001"/>
  </r>
  <r>
    <x v="0"/>
    <x v="4"/>
    <s v="S12040586"/>
    <s v="CARBIDE TOOL BIT RIGHT SIDE 20 MM"/>
    <s v="NOS"/>
    <n v="1"/>
    <n v="331.19"/>
    <n v="331.18986000000001"/>
  </r>
  <r>
    <x v="0"/>
    <x v="4"/>
    <s v="S12040589"/>
    <s v="CARBIDE TOOL BIT LEFT SIDE 20 MM"/>
    <s v="NOS"/>
    <n v="1"/>
    <n v="335.84"/>
    <n v="335.84"/>
  </r>
  <r>
    <x v="0"/>
    <x v="4"/>
    <s v="S12050340"/>
    <s v="ARALDITE STANDARD EPOXY RESIN - AW 106 IN"/>
    <s v="KG"/>
    <n v="6"/>
    <n v="874.101"/>
    <n v="5244.6076199999998"/>
  </r>
  <r>
    <x v="0"/>
    <x v="4"/>
    <s v="S12050341"/>
    <s v="ARALDITE STANDARD EPOXY HARDENER - HV 953 IN"/>
    <s v="KG"/>
    <n v="6"/>
    <n v="668.43"/>
    <n v="4010.5822800000001"/>
  </r>
  <r>
    <x v="0"/>
    <x v="4"/>
    <s v="S13010736"/>
    <s v="HYDRO MOTOR MODEL:-MATY 315C"/>
    <s v="NOS"/>
    <n v="1"/>
    <n v="54940"/>
    <n v="54940"/>
  </r>
  <r>
    <x v="0"/>
    <x v="4"/>
    <s v="S13100500"/>
    <s v="MEGACOAT, HV COIL INSULATION PAINT, 5KV"/>
    <s v="LTR"/>
    <n v="25"/>
    <n v="3822.96"/>
    <n v="95574"/>
  </r>
  <r>
    <x v="0"/>
    <x v="4"/>
    <s v="S13110001"/>
    <s v="1.5 V   A A  BATTERY"/>
    <s v="NOS"/>
    <n v="2"/>
    <n v="17"/>
    <n v="34"/>
  </r>
  <r>
    <x v="0"/>
    <x v="4"/>
    <s v="S14010007"/>
    <s v="Asbestos Hand Gloves 18''"/>
    <s v="PRS"/>
    <n v="2"/>
    <n v="55.6"/>
    <n v="111.2"/>
  </r>
  <r>
    <x v="0"/>
    <x v="4"/>
    <s v="S14010025"/>
    <s v="HAND GLOVES COTTON"/>
    <s v="PRS"/>
    <n v="1255"/>
    <n v="11.092659574468"/>
    <n v="13927.340840000001"/>
  </r>
  <r>
    <x v="0"/>
    <x v="4"/>
    <s v="S14010032"/>
    <s v="Nose Masks"/>
    <s v="NOS"/>
    <n v="10"/>
    <n v="2.5"/>
    <n v="25"/>
  </r>
  <r>
    <x v="0"/>
    <x v="4"/>
    <s v="S14010063"/>
    <s v="LEATHER HAND GLOVES 18' INCH"/>
    <s v="PRS"/>
    <n v="4"/>
    <n v="67.900000000000006"/>
    <n v="271.60000000000002"/>
  </r>
  <r>
    <x v="0"/>
    <x v="4"/>
    <s v="S14010065"/>
    <s v="RUBBER HAND GLOVES 10'"/>
    <s v="PRS"/>
    <n v="5"/>
    <n v="28.405000000000001"/>
    <n v="142.02719999999999"/>
  </r>
  <r>
    <x v="0"/>
    <x v="4"/>
    <s v="S14010068"/>
    <s v="BLACK GOGGLES"/>
    <s v="NOS"/>
    <n v="33"/>
    <n v="37.622"/>
    <n v="1241.50983"/>
  </r>
  <r>
    <x v="0"/>
    <x v="4"/>
    <s v="S15010042"/>
    <s v="Wire Brush"/>
    <s v="NOS"/>
    <n v="19"/>
    <n v="27.9055"/>
    <n v="530.64008999999999"/>
  </r>
  <r>
    <x v="0"/>
    <x v="4"/>
    <s v="S15010067"/>
    <s v="Jaw Crusher Half Square Bush 12 x 20"/>
    <s v="NOS"/>
    <n v="1"/>
    <n v="3500"/>
    <n v="3500"/>
  </r>
  <r>
    <x v="0"/>
    <x v="4"/>
    <s v="S15010269"/>
    <s v="WIRE ROLL 1.2 MM SIZE FOR MIG WELDING"/>
    <s v="RL"/>
    <n v="3"/>
    <n v="2097"/>
    <n v="6291"/>
  </r>
  <r>
    <x v="0"/>
    <x v="4"/>
    <s v="S15010313"/>
    <s v="BRAKE SHOE LINER DIA 400MM"/>
    <s v="PRS"/>
    <n v="3"/>
    <n v="18511.167333333298"/>
    <n v="55533.502180000003"/>
  </r>
  <r>
    <x v="0"/>
    <x v="4"/>
    <s v="S15010314"/>
    <s v="BRAKE SHOE LINER DIA 315MM"/>
    <s v="PRS"/>
    <n v="2"/>
    <n v="10609.668"/>
    <n v="21219.33612"/>
  </r>
  <r>
    <x v="0"/>
    <x v="4"/>
    <s v="S15010616"/>
    <s v="COPPER BUSH OD-20MM, ID-M12 THREADED, HEIGHT-25MM"/>
    <s v="NOS"/>
    <n v="15"/>
    <n v="188.08099999999999"/>
    <n v="2821.20975"/>
  </r>
  <r>
    <x v="0"/>
    <x v="4"/>
    <s v="S15010617"/>
    <s v="SS 304 BUSH OD-20MM, ID-M12 THREADED, HEIGHT-25MM"/>
    <s v="NOS"/>
    <n v="15"/>
    <n v="60.920999999999999"/>
    <n v="913.81889999999999"/>
  </r>
  <r>
    <x v="0"/>
    <x v="4"/>
    <s v="S15010721"/>
    <s v="INTERNAL CIRCLIP - 180"/>
    <s v="NOS"/>
    <n v="4"/>
    <n v="127"/>
    <n v="508"/>
  </r>
  <r>
    <x v="0"/>
    <x v="4"/>
    <s v="S15020303"/>
    <s v="PAINT SPRAY GUN"/>
    <s v="NOS"/>
    <n v="2"/>
    <n v="1995"/>
    <n v="3990"/>
  </r>
  <r>
    <x v="0"/>
    <x v="4"/>
    <s v="S15020318"/>
    <s v="PLATED SLOTTED COUNTERSUNK HEAD SCREW -M10X40MM NUT &amp; WASHER FULL THREAD"/>
    <s v="SET"/>
    <n v="66"/>
    <n v="7.2389999999999999"/>
    <n v="477.77532000000002"/>
  </r>
  <r>
    <x v="0"/>
    <x v="4"/>
    <s v="S15020361"/>
    <s v="INTERNAL CIRCLIP , BORE-173MM,OD-190MM,THICKNESS-4MM"/>
    <s v="NOS"/>
    <n v="2"/>
    <n v="134.23500000000001"/>
    <n v="268.46947999999998"/>
  </r>
  <r>
    <x v="0"/>
    <x v="4"/>
    <s v="S16010052"/>
    <s v="Hose clamp 1/2''"/>
    <s v="NOS"/>
    <n v="70"/>
    <n v="7.25"/>
    <n v="507.5"/>
  </r>
  <r>
    <x v="0"/>
    <x v="4"/>
    <s v="S16010105"/>
    <s v="Teflon Tape"/>
    <s v="NOS"/>
    <n v="72"/>
    <n v="7.2225999999999999"/>
    <n v="517.40467999999998"/>
  </r>
  <r>
    <x v="0"/>
    <x v="4"/>
    <s v="S16010197"/>
    <s v="Oil Seals 55 x 80 x 10"/>
    <s v="NOS"/>
    <n v="2"/>
    <n v="36"/>
    <n v="72"/>
  </r>
  <r>
    <x v="0"/>
    <x v="4"/>
    <s v="S16010219"/>
    <s v="Asbestos Rope 16MM"/>
    <s v="KG"/>
    <n v="10"/>
    <n v="260"/>
    <n v="2600"/>
  </r>
  <r>
    <x v="0"/>
    <x v="4"/>
    <s v="S16010224"/>
    <s v="Asbestos rope 3mm"/>
    <s v="KG"/>
    <n v="3"/>
    <n v="200"/>
    <n v="600"/>
  </r>
  <r>
    <x v="0"/>
    <x v="4"/>
    <s v="S16010225"/>
    <s v="Asbestos Rope 6MM"/>
    <s v="KG"/>
    <n v="5"/>
    <n v="230"/>
    <n v="1150"/>
  </r>
  <r>
    <x v="0"/>
    <x v="4"/>
    <s v="S16020101"/>
    <s v="CARBON FREE HOSE PIPE SIZE- 19MM (3/4')"/>
    <s v="MTR"/>
    <n v="315"/>
    <n v="211.22866666666599"/>
    <n v="66550.233519999994"/>
  </r>
  <r>
    <x v="0"/>
    <x v="4"/>
    <s v="S16020102"/>
    <s v="CARBON FREE HOSE PIPE SIZE- 25MM (1')"/>
    <s v="MTR"/>
    <n v="50"/>
    <n v="237.86199999999999"/>
    <n v="11893.121499999999"/>
  </r>
  <r>
    <x v="0"/>
    <x v="4"/>
    <s v="S16020103"/>
    <s v="CARBON FREE HOSE PIPE SIZE-31.5MM (1.26') (17bar)"/>
    <s v="MTR"/>
    <n v="65"/>
    <n v="420.202"/>
    <n v="27313.131300000001"/>
  </r>
  <r>
    <x v="0"/>
    <x v="4"/>
    <s v="S16020104"/>
    <s v="CARBON FREE HOSE PIPE SIZE-38MM (1 1/2') (17 bar)"/>
    <s v="MTR"/>
    <n v="189"/>
    <n v="396.55700000000002"/>
    <n v="75065.758969999995"/>
  </r>
  <r>
    <x v="0"/>
    <x v="4"/>
    <s v="S16020106"/>
    <s v="CARBON FREE HOSE PIPE SIZE- 102MM (4') (10 bar)"/>
    <s v="MTR"/>
    <n v="80"/>
    <n v="1719.4935"/>
    <n v="137559.47927000001"/>
  </r>
  <r>
    <x v="0"/>
    <x v="4"/>
    <s v="S16020174"/>
    <s v="KLIPCO S.S WORM DRIVE HOSE CLAPM SIZE-35A"/>
    <s v="NOS"/>
    <n v="350"/>
    <n v="52.177333333333301"/>
    <n v="18263.009999999998"/>
  </r>
  <r>
    <x v="0"/>
    <x v="4"/>
    <s v="S16020175"/>
    <s v="KLIPCO S.S WORM DRIVE HOSE CLAPM SIZE-1X"/>
    <s v="NOS"/>
    <n v="300"/>
    <n v="66.3"/>
    <n v="19890"/>
  </r>
  <r>
    <x v="0"/>
    <x v="4"/>
    <s v="S16020176"/>
    <s v="KLIPCO S.S WORM DRIVE HOSE CLAPM SIZE-2"/>
    <s v="NOS"/>
    <n v="450"/>
    <n v="54.200666666666599"/>
    <n v="24402.647000000001"/>
  </r>
  <r>
    <x v="0"/>
    <x v="4"/>
    <s v="S16020196"/>
    <s v="HYDRAULIC HOSE PIPE (210BAR) BOTH SIDE FEMALE SOCKET 1/2' (BSP),LENGTH-1400 MM ,EXTERNAL SS WIRE BRA"/>
    <s v="NOS"/>
    <n v="2"/>
    <n v="667.43299999999999"/>
    <n v="1334.8658600000001"/>
  </r>
  <r>
    <x v="0"/>
    <x v="4"/>
    <s v="S16020197"/>
    <s v="HYDRAULIC HOSE PIPE (210BAR) BOTH SIDE FEMALE SOCKET 1/2' (BSP)X 4000 MM LONG,EXTERNAL SS WIRE BRAID"/>
    <s v="NOS"/>
    <n v="4"/>
    <n v="1875.2629999999999"/>
    <n v="7501.0524400000004"/>
  </r>
  <r>
    <x v="0"/>
    <x v="4"/>
    <s v="S16020199"/>
    <s v="HYDRAULIC HOSE PIPE (210BAR) ONE END FEMALE SOCKET 1/2' (BSP),ANOTHER END 90° BEND FEMALE SOCKET 1/2"/>
    <s v="NOS"/>
    <n v="1"/>
    <n v="548.27"/>
    <n v="548.27008000000001"/>
  </r>
  <r>
    <x v="0"/>
    <x v="4"/>
    <s v="S16020200"/>
    <s v="HYDRAULIC HOSE PIPE (210BAR) BOTH SIDE FEMALE SOCKET 1/4' (BSP)X 4000 MM LONG,EXTERNAL SS WIRE BRAID"/>
    <s v="NOS"/>
    <n v="2"/>
    <n v="1017.564"/>
    <n v="2035.1282200000001"/>
  </r>
  <r>
    <x v="0"/>
    <x v="4"/>
    <s v="S16020201"/>
    <s v="HYDRAULIC HOSE PIPE (210BAR) ONE END FEMALE SOCKET 1/4' (BSP),ANOTHER END 90° BEND FEMALE SOCKET 1/4"/>
    <s v="NOS"/>
    <n v="2"/>
    <n v="269.72899999999998"/>
    <n v="539.45834000000002"/>
  </r>
  <r>
    <x v="0"/>
    <x v="4"/>
    <s v="S16020216"/>
    <s v="HYDRAULIC HOSE PIPE (275BAR) BOTH END FEMALE SOCKET 1/2' X 1000MM LENGTH, 90° BEND"/>
    <s v="NOS"/>
    <n v="2"/>
    <n v="283"/>
    <n v="566"/>
  </r>
  <r>
    <x v="0"/>
    <x v="4"/>
    <s v="S16020247"/>
    <s v="KLIPCO S.S WORM DRIVE HOSE CLAMP SIZE-2A"/>
    <s v="NOS"/>
    <n v="250"/>
    <n v="54.125"/>
    <n v="13531.540999999999"/>
  </r>
  <r>
    <x v="0"/>
    <x v="4"/>
    <s v="S16040302"/>
    <s v="SEAL KIT FOR SCRAP CHARGING TROLLEY, 10 TON"/>
    <s v="NOS"/>
    <n v="2"/>
    <n v="700"/>
    <n v="1400"/>
  </r>
  <r>
    <x v="0"/>
    <x v="4"/>
    <s v="S16040330"/>
    <s v="OIL SEAL SINGLE LIP REG. M.I TYP. 30 ID X 40 OD X 07 THK - NBR"/>
    <s v="NOS"/>
    <n v="5"/>
    <n v="27.864000000000001"/>
    <n v="139.322"/>
  </r>
  <r>
    <x v="0"/>
    <x v="4"/>
    <s v="S16040337"/>
    <s v="OIL SEAL 50 X 65 X 9"/>
    <s v="NOS"/>
    <n v="8"/>
    <n v="40.654000000000003"/>
    <n v="325.23432000000003"/>
  </r>
  <r>
    <x v="0"/>
    <x v="4"/>
    <s v="S16040517"/>
    <s v="OIL SEAL 55 X 90 X 10"/>
    <s v="NOS"/>
    <n v="2"/>
    <n v="60"/>
    <n v="120"/>
  </r>
  <r>
    <x v="0"/>
    <x v="4"/>
    <s v="S17010073"/>
    <s v="Carrying Idlers 200 x 90 MM"/>
    <s v="NOS"/>
    <n v="51"/>
    <n v="397.92950000000002"/>
    <n v="20250.925439999999"/>
  </r>
  <r>
    <x v="0"/>
    <x v="4"/>
    <s v="S17010120"/>
    <s v="Return Idler 114 x 650mm Long"/>
    <s v="NOS"/>
    <n v="4"/>
    <n v="719.06799999999998"/>
    <n v="2876.2723999999998"/>
  </r>
  <r>
    <x v="0"/>
    <x v="4"/>
    <s v="S17010217"/>
    <s v="V Belt C  182"/>
    <s v="NOS"/>
    <n v="2"/>
    <n v="799.75199999999995"/>
    <n v="1599.5039999999999"/>
  </r>
  <r>
    <x v="0"/>
    <x v="4"/>
    <s v="S17010272"/>
    <s v="15TON CRANE HOIST GEAR BOX OUTPUT SHAFT, (35 Z (TEETH) X 7 M (MODULE) X SPUR),MOC:EN9"/>
    <s v="NOS"/>
    <n v="1"/>
    <n v="72600"/>
    <n v="72600"/>
  </r>
  <r>
    <x v="0"/>
    <x v="4"/>
    <s v="S17020155"/>
    <s v="CONVEYOR BELT M24 GRADE 600 X 4 PLY X 12 MM"/>
    <s v="MTR"/>
    <n v="102"/>
    <n v="1670"/>
    <n v="170340"/>
  </r>
  <r>
    <x v="0"/>
    <x v="4"/>
    <s v="S17020157"/>
    <s v="CARRYING IDLER 300 X 90 MM"/>
    <s v="NOS"/>
    <n v="33"/>
    <n v="420"/>
    <n v="13860"/>
  </r>
  <r>
    <x v="0"/>
    <x v="4"/>
    <s v="S17020158"/>
    <s v="RETURN IDLER 990 X 90 MM"/>
    <s v="NOS"/>
    <n v="5"/>
    <n v="1050"/>
    <n v="5250"/>
  </r>
  <r>
    <x v="0"/>
    <x v="4"/>
    <s v="S17020165"/>
    <s v="CONVEYOR CARRYING IDLER (300MM) STAND"/>
    <s v="NOS"/>
    <n v="5"/>
    <n v="1328.43"/>
    <n v="6642.1475499999997"/>
  </r>
  <r>
    <x v="0"/>
    <x v="4"/>
    <s v="S17020171"/>
    <s v="HEAD PULLEY DIA 330 MM X 650 MM LONG X SHAFT LENGTH 980 MM X SHAFT DIA 50 MM."/>
    <s v="NOS"/>
    <n v="1"/>
    <n v="22688.544000000002"/>
    <n v="22688.543959999999"/>
  </r>
  <r>
    <x v="0"/>
    <x v="4"/>
    <s v="S17020172"/>
    <s v="TAIL PULLEY DIA 330MM X 650MM LONG X SHAFT LENGTH 910 MM X SHAFT DIA 50 MM."/>
    <s v="NOS"/>
    <n v="1"/>
    <n v="20475.026999999998"/>
    <n v="20475.027470000001"/>
  </r>
  <r>
    <x v="0"/>
    <x v="4"/>
    <s v="S17030321"/>
    <s v="FULL GEAR COUPLING 102"/>
    <s v="NOS"/>
    <n v="1"/>
    <n v="8995.4"/>
    <n v="8995.4"/>
  </r>
  <r>
    <x v="0"/>
    <x v="4"/>
    <s v="S17030322"/>
    <s v="FULL GEAR COUPLING 103"/>
    <s v="NOS"/>
    <n v="2"/>
    <n v="19131.667000000001"/>
    <n v="38263.333339999997"/>
  </r>
  <r>
    <x v="0"/>
    <x v="4"/>
    <s v="S17030375"/>
    <s v="SPROCKET 1', NUMBER OF TEETH-23"/>
    <s v="NOS"/>
    <n v="1"/>
    <n v="682.81600000000003"/>
    <n v="682.81552999999997"/>
  </r>
  <r>
    <x v="0"/>
    <x v="4"/>
    <s v="S17030377"/>
    <s v="V BELT C-195"/>
    <s v="NOS"/>
    <n v="2"/>
    <n v="1010.275"/>
    <n v="2020.5505800000001"/>
  </r>
  <r>
    <x v="0"/>
    <x v="4"/>
    <s v="S17030378"/>
    <s v="V BELT C-130"/>
    <s v="NOS"/>
    <n v="2"/>
    <n v="719.37900000000002"/>
    <n v="1438.7589"/>
  </r>
  <r>
    <x v="0"/>
    <x v="4"/>
    <s v="S17030385"/>
    <s v="SPROCKET DIA -230MM, NO.OF TEETH-44"/>
    <s v="NOS"/>
    <n v="1"/>
    <n v="806.1"/>
    <n v="806.1"/>
  </r>
  <r>
    <x v="0"/>
    <x v="4"/>
    <s v="S17030387"/>
    <s v="SPROCKET DIA -80MM , NO.OF TEETH-14"/>
    <s v="NOS"/>
    <n v="1"/>
    <n v="135.36000000000001"/>
    <n v="135.35982000000001"/>
  </r>
  <r>
    <x v="0"/>
    <x v="4"/>
    <s v="S17030412"/>
    <s v="SIMPLEX CHAIN 5/8'"/>
    <s v="MTR"/>
    <n v="5.9"/>
    <n v="355.10199999999998"/>
    <n v="2095.1035499999998"/>
  </r>
  <r>
    <x v="0"/>
    <x v="4"/>
    <s v="S17030479"/>
    <s v="NYLON GEAR COUPLING SLEEVE M - 48"/>
    <s v="NOS"/>
    <n v="2"/>
    <n v="395.39600000000002"/>
    <n v="790.79208000000006"/>
  </r>
  <r>
    <x v="0"/>
    <x v="4"/>
    <s v="S17030503"/>
    <s v="SPROCKET-OD-85 MM. ID-16 MM. TEETH- 15 NOS. THICKNESS-10 MM. PITCH-15.5 MM"/>
    <s v="NOS"/>
    <n v="1"/>
    <n v="139.19999999999999"/>
    <n v="139.19999999999999"/>
  </r>
  <r>
    <x v="0"/>
    <x v="4"/>
    <s v="S17030518"/>
    <s v="DUPLEX CHAIN LOCK 5/8'"/>
    <s v="NOS"/>
    <n v="2"/>
    <n v="53.131"/>
    <n v="106.26182"/>
  </r>
  <r>
    <x v="0"/>
    <x v="4"/>
    <s v="S17030571"/>
    <s v="CHAIN SPROCKET SIMPLEX 5/8' X 22 TEETH"/>
    <s v="NOS"/>
    <n v="1"/>
    <n v="299.40600000000001"/>
    <n v="299.40593999999999"/>
  </r>
  <r>
    <x v="0"/>
    <x v="4"/>
    <s v="S17030618"/>
    <s v="FLEXIBLE DRIVE GEAR COUPLING  NYLON SLEEVE, MODEL NO-JT-48,50T"/>
    <s v="NOS"/>
    <n v="1"/>
    <n v="1400"/>
    <n v="1400"/>
  </r>
  <r>
    <x v="0"/>
    <x v="4"/>
    <s v="S17030654"/>
    <s v="V Belt B 84"/>
    <s v="NOS"/>
    <n v="2"/>
    <n v="291.08"/>
    <n v="582.16"/>
  </r>
  <r>
    <x v="0"/>
    <x v="4"/>
    <s v="S17030701"/>
    <s v="SIMPLEX CHAIN 1' X 3.048 MTR"/>
    <s v="NOS"/>
    <n v="1"/>
    <n v="2630.84"/>
    <n v="2630.84"/>
  </r>
  <r>
    <x v="0"/>
    <x v="4"/>
    <s v="S18010052"/>
    <s v="Coconut Broom"/>
    <s v="NOS"/>
    <n v="25"/>
    <n v="22"/>
    <n v="550"/>
  </r>
  <r>
    <x v="0"/>
    <x v="4"/>
    <s v="S18010057"/>
    <s v="Smooth Broom"/>
    <s v="NOS"/>
    <n v="4"/>
    <n v="65"/>
    <n v="260"/>
  </r>
  <r>
    <x v="0"/>
    <x v="4"/>
    <s v="S18060001"/>
    <s v="Cotton Waste"/>
    <s v="KG"/>
    <n v="155"/>
    <n v="23.496849999999998"/>
    <n v="3674.8481999999999"/>
  </r>
  <r>
    <x v="0"/>
    <x v="4"/>
    <s v="S18060037"/>
    <s v="LPG gas Cylinder 19 kgs"/>
    <s v="NOS"/>
    <n v="20"/>
    <n v="2434.9012857142802"/>
    <n v="48889.224090000003"/>
  </r>
  <r>
    <x v="0"/>
    <x v="4"/>
    <s v="S18130290"/>
    <s v="COTTON WASTE (BANIYAN)"/>
    <s v="KG"/>
    <n v="5"/>
    <n v="52.140999999999998"/>
    <n v="260.70650000000001"/>
  </r>
  <r>
    <x v="0"/>
    <x v="4"/>
    <s v="S21010055"/>
    <s v="SS 304 Shim 0.2mm"/>
    <s v="KG"/>
    <n v="31"/>
    <n v="492.72300000000001"/>
    <n v="15274.413619999999"/>
  </r>
  <r>
    <x v="0"/>
    <x v="4"/>
    <s v="S21010056"/>
    <s v="SS 304 Shim 0.3mm"/>
    <s v="KG"/>
    <n v="5"/>
    <n v="475.97399999999999"/>
    <n v="2379.87"/>
  </r>
  <r>
    <x v="0"/>
    <x v="4"/>
    <s v="S21010229"/>
    <s v="MS CHANNEL,ISMC-75MMx40MM"/>
    <s v="KG"/>
    <n v="130"/>
    <n v="52.076000000000001"/>
    <n v="6769.8891000000003"/>
  </r>
  <r>
    <x v="0"/>
    <x v="4"/>
    <s v="S21010271"/>
    <s v="MS PLATE,PLAIN,THICKNESS-6MM"/>
    <s v="KG"/>
    <n v="455"/>
    <n v="51.823999999999998"/>
    <n v="23580.006450000001"/>
  </r>
  <r>
    <x v="0"/>
    <x v="4"/>
    <s v="S21010275"/>
    <s v="MS PLATE,PLAIN,THICKNESS-16MM"/>
    <s v="KG"/>
    <n v="2400"/>
    <n v="52.076999999999998"/>
    <n v="124984.74"/>
  </r>
  <r>
    <x v="0"/>
    <x v="4"/>
    <s v="S21010278"/>
    <s v="MS PLATE,PLAIN,THICKNESS-25MM"/>
    <s v="KG"/>
    <n v="1580"/>
    <n v="59.031999999999996"/>
    <n v="93271.1446"/>
  </r>
  <r>
    <x v="0"/>
    <x v="4"/>
    <s v="S21010327"/>
    <s v="MS PLATE, PLAIN, THICKNESS - 4MM"/>
    <s v="KG"/>
    <n v="300"/>
    <n v="58.2"/>
    <n v="17459.916000000001"/>
  </r>
  <r>
    <x v="0"/>
    <x v="4"/>
    <s v="S21030136"/>
    <s v="FRP ROUND BAR DIA - 50 MM"/>
    <s v="MTR"/>
    <n v="2"/>
    <n v="1925.905"/>
    <n v="3851.8102199999998"/>
  </r>
  <r>
    <x v="0"/>
    <x v="4"/>
    <s v="S21030204"/>
    <s v="STRAIGHT BAR SS-304, DIA 6 MM"/>
    <s v="KG"/>
    <n v="30"/>
    <n v="195.53200000000001"/>
    <n v="5865.9732000000004"/>
  </r>
  <r>
    <x v="0"/>
    <x v="4"/>
    <s v="S22010245"/>
    <s v="CRC Spray 2-26"/>
    <s v="NOS"/>
    <n v="3"/>
    <n v="325"/>
    <n v="975"/>
  </r>
  <r>
    <x v="0"/>
    <x v="4"/>
    <s v="S24010009"/>
    <s v="M.S Welding Electrodes 3.15mm"/>
    <s v="PKT"/>
    <n v="117"/>
    <n v="284.84924999999998"/>
    <n v="33316.251320000003"/>
  </r>
  <r>
    <x v="0"/>
    <x v="4"/>
    <s v="S24010010"/>
    <s v="M.S Welding Electrodes 4mm"/>
    <s v="PKT"/>
    <n v="73"/>
    <n v="348.766909090909"/>
    <n v="25480.884160000001"/>
  </r>
  <r>
    <x v="0"/>
    <x v="4"/>
    <s v="S24010013"/>
    <s v="Welding Cable 50MM Copper"/>
    <s v="MTR"/>
    <n v="50"/>
    <n v="221.5"/>
    <n v="11075"/>
  </r>
  <r>
    <x v="0"/>
    <x v="4"/>
    <s v="S24010014"/>
    <s v="Welding Electrodes (7018) 3.15mm"/>
    <s v="PKT"/>
    <n v="12"/>
    <n v="604.14300000000003"/>
    <n v="7249.71432"/>
  </r>
  <r>
    <x v="0"/>
    <x v="4"/>
    <s v="S24010018"/>
    <s v="Welding Glasses Black"/>
    <s v="NOS"/>
    <n v="27"/>
    <n v="12.14"/>
    <n v="327.76731000000001"/>
  </r>
  <r>
    <x v="0"/>
    <x v="4"/>
    <s v="S24010019"/>
    <s v="Welding Glasses White"/>
    <s v="NOS"/>
    <n v="10"/>
    <n v="2.6429999999999998"/>
    <n v="26.425599999999999"/>
  </r>
  <r>
    <x v="0"/>
    <x v="4"/>
    <s v="S24010021"/>
    <s v="Welding Holders, Capacity - Up to 600 amps"/>
    <s v="NOS"/>
    <n v="6"/>
    <n v="411.76933333333301"/>
    <n v="2466.5077700000002"/>
  </r>
  <r>
    <x v="0"/>
    <x v="4"/>
    <s v="S24010034"/>
    <s v="Cutting Torch"/>
    <s v="NOS"/>
    <n v="3"/>
    <n v="5815.2939999999999"/>
    <n v="17445.881580000001"/>
  </r>
  <r>
    <x v="0"/>
    <x v="4"/>
    <s v="S24010035"/>
    <s v="Cutting Torch Nozzle 1/ 16"/>
    <s v="NOS"/>
    <n v="2"/>
    <n v="214.233"/>
    <n v="428.46636000000001"/>
  </r>
  <r>
    <x v="0"/>
    <x v="4"/>
    <s v="S24010037"/>
    <s v="LPG Regulator"/>
    <s v="NOS"/>
    <n v="2"/>
    <n v="650"/>
    <n v="1300"/>
  </r>
  <r>
    <x v="0"/>
    <x v="4"/>
    <s v="S24010039"/>
    <s v="Oxygen Cylinders"/>
    <s v="NOS"/>
    <n v="70"/>
    <n v="234.5"/>
    <n v="16415"/>
  </r>
  <r>
    <x v="0"/>
    <x v="4"/>
    <s v="S24010041"/>
    <s v="Oxygen Regulator Single Stage"/>
    <s v="NOS"/>
    <n v="4"/>
    <n v="2899.8746666666598"/>
    <n v="11668.04888"/>
  </r>
  <r>
    <x v="0"/>
    <x v="4"/>
    <s v="S24010043"/>
    <s v="Gas Lighter"/>
    <s v="NOS"/>
    <n v="1"/>
    <n v="21.163"/>
    <n v="21.162659999999999"/>
  </r>
  <r>
    <x v="0"/>
    <x v="4"/>
    <s v="S24010095"/>
    <s v="COPPER BRAZING ROD , 3.15 MM"/>
    <s v="NOS"/>
    <n v="5"/>
    <n v="1144.4739999999999"/>
    <n v="5722.3684000000003"/>
  </r>
  <r>
    <x v="0"/>
    <x v="4"/>
    <s v="S24010104"/>
    <s v="MANUAL MIG WELDING TORCH WITH NOZZLE"/>
    <s v="NOS"/>
    <n v="1"/>
    <n v="7790.1360000000004"/>
    <n v="7790.1364100000001"/>
  </r>
  <r>
    <x v="0"/>
    <x v="4"/>
    <s v="S24010105"/>
    <s v="WELDING HOLDER ARC 1000Amps"/>
    <s v="NOS"/>
    <n v="1"/>
    <n v="193.92500000000001"/>
    <n v="193.92453"/>
  </r>
  <r>
    <x v="0"/>
    <x v="4"/>
    <s v="S24010120"/>
    <s v="MIG CONTACT TIP M8 28"/>
    <s v="NOS"/>
    <n v="1"/>
    <n v="71.751000000000005"/>
    <n v="71.75112"/>
  </r>
  <r>
    <x v="0"/>
    <x v="4"/>
    <s v="S24020005"/>
    <s v="CUTTING NOZZLE 1/8'"/>
    <s v="NOS"/>
    <n v="4"/>
    <n v="199.47499999999999"/>
    <n v="797.89840000000004"/>
  </r>
  <r>
    <x v="0"/>
    <x v="4"/>
    <s v="S25010030"/>
    <s v="Bearing 22324"/>
    <s v="NOS"/>
    <n v="1"/>
    <n v="61397.680999999997"/>
    <n v="61397.680740000003"/>
  </r>
  <r>
    <x v="0"/>
    <x v="4"/>
    <s v="S25010059"/>
    <s v="Bearing 4904"/>
    <s v="NOS"/>
    <n v="2"/>
    <n v="550"/>
    <n v="1100"/>
  </r>
  <r>
    <x v="0"/>
    <x v="4"/>
    <s v="S25010092"/>
    <s v="Bearing P-210"/>
    <s v="NOS"/>
    <n v="4"/>
    <n v="1687.4259999999999"/>
    <n v="6749.7028"/>
  </r>
  <r>
    <x v="0"/>
    <x v="4"/>
    <s v="S25010114"/>
    <s v="Bearings 6207ZZ 2RSC3"/>
    <s v="NOS"/>
    <n v="2"/>
    <n v="447.09699999999998"/>
    <n v="894.19385999999997"/>
  </r>
  <r>
    <x v="0"/>
    <x v="4"/>
    <s v="S25010278"/>
    <s v="BEARING T- 212"/>
    <s v="NOS"/>
    <n v="1"/>
    <n v="3989.9789999999998"/>
    <n v="3989.9793599999998"/>
  </r>
  <r>
    <x v="0"/>
    <x v="4"/>
    <s v="S25010288"/>
    <s v="BEARING 6306 ZZ"/>
    <s v="NOS"/>
    <n v="1"/>
    <n v="392.22899999999998"/>
    <n v="392.22921000000002"/>
  </r>
  <r>
    <x v="0"/>
    <x v="4"/>
    <s v="S25010289"/>
    <s v="BEARING 6308 ZZ"/>
    <s v="NOS"/>
    <n v="1"/>
    <n v="528.35"/>
    <n v="528.34996999999998"/>
  </r>
  <r>
    <x v="0"/>
    <x v="4"/>
    <s v="S25010329"/>
    <s v="SPHERICAL ROLLER BEARING- 23226K TAPER"/>
    <s v="NOS"/>
    <n v="1"/>
    <n v="17994.778999999999"/>
    <n v="17994.77866"/>
  </r>
  <r>
    <x v="0"/>
    <x v="4"/>
    <s v="S25010336"/>
    <s v="SLEEVE H-2326"/>
    <s v="NOS"/>
    <n v="3"/>
    <n v="1623.3333333333301"/>
    <n v="4870"/>
  </r>
  <r>
    <x v="0"/>
    <x v="4"/>
    <s v="S25010343"/>
    <s v="SLEEVE H-2326 HE"/>
    <s v="NOS"/>
    <n v="2"/>
    <n v="1570"/>
    <n v="3140"/>
  </r>
  <r>
    <x v="0"/>
    <x v="4"/>
    <s v="S25010350"/>
    <s v="BEARING NO - 6006 ZZ C3"/>
    <s v="NOS"/>
    <n v="3"/>
    <n v="256.20499999999998"/>
    <n v="768.61361999999997"/>
  </r>
  <r>
    <x v="0"/>
    <x v="4"/>
    <s v="S25010351"/>
    <s v="BEARING NO - 6010 ZZ C3"/>
    <s v="NOS"/>
    <n v="2"/>
    <n v="393.12"/>
    <n v="786.24"/>
  </r>
  <r>
    <x v="0"/>
    <x v="4"/>
    <s v="S25010373"/>
    <s v="BEARING 6311 Z"/>
    <s v="NOS"/>
    <n v="1"/>
    <n v="1788.16"/>
    <n v="1788.16"/>
  </r>
  <r>
    <x v="0"/>
    <x v="4"/>
    <s v="S25010422"/>
    <s v="BEARING NO 21320 C3"/>
    <s v="NOS"/>
    <n v="1"/>
    <n v="33085.063999999998"/>
    <n v="33085.063999999998"/>
  </r>
  <r>
    <x v="0"/>
    <x v="4"/>
    <s v="S25010451"/>
    <s v="BEARING NO - 22211 EW33J"/>
    <s v="NOS"/>
    <n v="2"/>
    <n v="2923.3209999999999"/>
    <n v="5846.6413599999996"/>
  </r>
  <r>
    <x v="0"/>
    <x v="4"/>
    <s v="S25010465"/>
    <s v="PLUMBER BLOCK SNA-628"/>
    <s v="NOS"/>
    <n v="1"/>
    <n v="15890"/>
    <n v="15890"/>
  </r>
  <r>
    <x v="0"/>
    <x v="4"/>
    <s v="S26010140"/>
    <s v="INSIDE MICROMETER (50 TO 300MM)"/>
    <s v="NOS"/>
    <n v="1"/>
    <n v="9200"/>
    <n v="9200"/>
  </r>
  <r>
    <x v="0"/>
    <x v="4"/>
    <s v="S26070243"/>
    <s v="PRESSURE GAUGE 0-280 KG/CM2, DIAL SIZE - 63 MM, 1/4 ' BSP CONNECTOR , MOUNTING - BACK SIDE( GL"/>
    <s v="NOS"/>
    <n v="5"/>
    <n v="791.66666666666595"/>
    <n v="3887.5"/>
  </r>
  <r>
    <x v="0"/>
    <x v="4"/>
    <s v="S28010009"/>
    <s v="Ceramic Blanket - 25mm thck X 7.62 Mtr Length X 0.61 Mtr width"/>
    <s v="PKT"/>
    <n v="4"/>
    <n v="1057"/>
    <n v="4228"/>
  </r>
  <r>
    <x v="0"/>
    <x v="4"/>
    <s v="S28020085"/>
    <s v="FOUNDATION BOLTS, M48X900,THREAD LENGTH-200 AT BOTH END,WITH DOUBLE NUT, WASHER &amp; LOCK NUT"/>
    <s v="SET"/>
    <n v="2"/>
    <n v="1618.75"/>
    <n v="3237.5"/>
  </r>
  <r>
    <x v="0"/>
    <x v="4"/>
    <s v="S30010042"/>
    <s v="Grease Gun Bucket 5Kgs"/>
    <s v="NOS"/>
    <n v="1"/>
    <n v="3677.3580000000002"/>
    <n v="3677.3584500000002"/>
  </r>
  <r>
    <x v="0"/>
    <x v="4"/>
    <s v="S30010134"/>
    <s v="OIL FILTER ELEMENT,PART NO:-CE 630 025 S3 SIZES(OD-135 X HIGHT-250 X ID-75MM)"/>
    <s v="NOS"/>
    <n v="2"/>
    <n v="1101.431"/>
    <n v="2202.8613300000002"/>
  </r>
  <r>
    <x v="0"/>
    <x v="4"/>
    <s v="S30010149"/>
    <s v="SUCTION STRAINER SC3-150, BSP THREAD 3 1/4' ,L-320 MM ,OD- 145MM"/>
    <s v="NOS"/>
    <n v="1"/>
    <n v="1453.2"/>
    <n v="1453.2"/>
  </r>
  <r>
    <x v="0"/>
    <x v="4"/>
    <s v="S30020184"/>
    <s v="PNEUMATIC AIR CYLINDER, MODEL NO : A16160250O MAX PRESSURE:-10 BAR"/>
    <s v="NOS"/>
    <n v="1"/>
    <n v="12210.35"/>
    <n v="12210.35"/>
  </r>
  <r>
    <x v="0"/>
    <x v="4"/>
    <s v="S30020212"/>
    <s v="METAL PNEUMATIC MALE CONNECTOR - 1/4 INCH (THREAD) X 10MM (PU CONNECTOR)"/>
    <s v="NOS"/>
    <n v="2"/>
    <n v="64.5"/>
    <n v="129"/>
  </r>
  <r>
    <x v="0"/>
    <x v="4"/>
    <s v="S30030002"/>
    <s v="Roto Excellence Oil 20ltrs, Part no : 1630207320"/>
    <s v="NOS"/>
    <n v="1"/>
    <n v="27123.91"/>
    <n v="27123.91"/>
  </r>
  <r>
    <x v="0"/>
    <x v="4"/>
    <s v="S30030124"/>
    <s v="OIL FILTER(201050D) FOR VENUS AIR COMPRESSOR TSC-100 PMV SCREW AIR COMPRESSOR"/>
    <s v="NOS"/>
    <n v="1"/>
    <n v="2464"/>
    <n v="2464"/>
  </r>
  <r>
    <x v="0"/>
    <x v="4"/>
    <s v="S32010009"/>
    <s v="EP - 2 Grease"/>
    <s v="KG"/>
    <n v="544"/>
    <n v="238.59866666666599"/>
    <n v="129794.80648"/>
  </r>
  <r>
    <x v="0"/>
    <x v="4"/>
    <s v="S32010010"/>
    <s v="Gear Oil 320"/>
    <s v="LTR"/>
    <n v="210"/>
    <n v="165"/>
    <n v="34650"/>
  </r>
  <r>
    <x v="0"/>
    <x v="4"/>
    <s v="S32010018"/>
    <s v="Hydralic Oil H - 68"/>
    <s v="LTR"/>
    <n v="630"/>
    <n v="176.660666666666"/>
    <n v="111296.3334"/>
  </r>
  <r>
    <x v="0"/>
    <x v="4"/>
    <s v="S32010044"/>
    <s v="Diesel"/>
    <s v="LTR"/>
    <n v="95"/>
    <n v="101.2440625"/>
    <n v="9619.6175000000003"/>
  </r>
  <r>
    <x v="0"/>
    <x v="4"/>
    <s v="S32010055"/>
    <s v="HIGH TEMPERATURE BEARING GREASE -LGHP 2/5"/>
    <s v="KG"/>
    <n v="5"/>
    <n v="2122.0949999999998"/>
    <n v="10610.476699999999"/>
  </r>
  <r>
    <x v="0"/>
    <x v="4"/>
    <s v="S32010068"/>
    <s v="HYDRAULIC OIL HLP-32"/>
    <s v="LTR"/>
    <n v="20"/>
    <n v="210"/>
    <n v="4200"/>
  </r>
  <r>
    <x v="0"/>
    <x v="4"/>
    <s v="S32010069"/>
    <s v="HYDRAULIC OIL HLP 46"/>
    <s v="LTR"/>
    <n v="209.999"/>
    <n v="120"/>
    <n v="25199.88"/>
  </r>
  <r>
    <x v="0"/>
    <x v="4"/>
    <s v="S32010090"/>
    <s v="GRESE-ALPLEX GEAR LUBE 1000 (NLGI-000)"/>
    <s v="KG"/>
    <n v="198"/>
    <n v="380.09249999999997"/>
    <n v="75243.333159999995"/>
  </r>
  <r>
    <x v="0"/>
    <x v="4"/>
    <s v="S32030041"/>
    <s v="CARBON DIOXIDE CYLINDER (CO2 GAS CYLINDER)"/>
    <s v="NOS"/>
    <n v="1"/>
    <n v="713"/>
    <n v="713"/>
  </r>
  <r>
    <x v="0"/>
    <x v="4"/>
    <s v="S37010112"/>
    <s v="CUTTING WHITE TOOL 5/16'"/>
    <s v="NOS"/>
    <n v="1"/>
    <n v="745.55"/>
    <n v="745.55"/>
  </r>
  <r>
    <x v="0"/>
    <x v="4"/>
    <s v="S37030053"/>
    <s v="HEAVY DUTY ROLLER CRUSHER MACHINE CAPACITY-10 TPH"/>
    <s v="NOS"/>
    <n v="1"/>
    <n v="1415410"/>
    <n v="1415410"/>
  </r>
  <r>
    <x v="0"/>
    <x v="5"/>
    <s v="F02040004"/>
    <s v="BAG FILTER DUST"/>
    <s v="MT"/>
    <n v="0"/>
    <m/>
    <n v="0"/>
  </r>
  <r>
    <x v="0"/>
    <x v="5"/>
    <s v="F03010012"/>
    <s v="M S BILLET (130MM X 130MM) 6 Mtr"/>
    <s v="MT"/>
    <n v="0"/>
    <m/>
    <n v="0"/>
  </r>
  <r>
    <x v="0"/>
    <x v="5"/>
    <s v="F03010013"/>
    <s v="M S BILLET (130MM X 130MM) RANDOM"/>
    <s v="MT"/>
    <n v="0"/>
    <m/>
    <n v="0"/>
  </r>
  <r>
    <x v="0"/>
    <x v="5"/>
    <s v="F03010017"/>
    <s v="M S BILLET (130MM X 130MM) 3 Mtr"/>
    <s v="MT"/>
    <n v="0"/>
    <m/>
    <n v="0"/>
  </r>
  <r>
    <x v="0"/>
    <x v="5"/>
    <s v="F03010018"/>
    <s v="M S BILLET (160MM X 160MM) 3 Mtr"/>
    <s v="MT"/>
    <n v="0"/>
    <m/>
    <n v="0"/>
  </r>
  <r>
    <x v="0"/>
    <x v="5"/>
    <s v="F03010019"/>
    <s v="M S BILLET (130MM X 130MM) 4 MTR"/>
    <s v="MT"/>
    <n v="0"/>
    <m/>
    <n v="0"/>
  </r>
  <r>
    <x v="0"/>
    <x v="5"/>
    <s v="F03010023"/>
    <s v="M S BILLET (130MM X 130MM) 5 MTR"/>
    <s v="MT"/>
    <n v="0"/>
    <m/>
    <n v="0"/>
  </r>
  <r>
    <x v="0"/>
    <x v="5"/>
    <s v="F03010026"/>
    <s v="M S BILLET (160MM X 160MM) 4 Mtr"/>
    <s v="MT"/>
    <n v="0"/>
    <m/>
    <n v="0"/>
  </r>
  <r>
    <x v="0"/>
    <x v="5"/>
    <s v="F03010027"/>
    <s v="M S BILLET (160MM X 160MM) 5 Mtr"/>
    <s v="MT"/>
    <n v="0"/>
    <m/>
    <n v="0"/>
  </r>
  <r>
    <x v="0"/>
    <x v="5"/>
    <s v="F03020001"/>
    <s v="SLAG METAL FINES, SIZE : 1 MM  TO 3 MM"/>
    <s v="MT"/>
    <n v="0"/>
    <m/>
    <n v="0"/>
  </r>
  <r>
    <x v="0"/>
    <x v="5"/>
    <s v="F04010002"/>
    <s v="RAW SLAG"/>
    <s v="MT"/>
    <n v="0"/>
    <m/>
    <n v="0"/>
  </r>
  <r>
    <x v="0"/>
    <x v="5"/>
    <s v="F04010004"/>
    <s v="Slag Waste"/>
    <s v="MT"/>
    <n v="0"/>
    <m/>
    <n v="0"/>
  </r>
  <r>
    <x v="0"/>
    <x v="5"/>
    <s v="F04010007"/>
    <s v="MILL SCALE-SMS"/>
    <s v="MT"/>
    <n v="0"/>
    <m/>
    <n v="0"/>
  </r>
  <r>
    <x v="0"/>
    <x v="5"/>
    <s v="F06030218"/>
    <s v="JT MS-CHS 25 NB X 2 MM X 6000 MM"/>
    <s v="MT"/>
    <n v="0.08"/>
    <n v="0"/>
    <n v="0"/>
  </r>
  <r>
    <x v="0"/>
    <x v="5"/>
    <s v="R05030007"/>
    <s v="Mag Material Slag"/>
    <s v="MT"/>
    <n v="0"/>
    <m/>
    <n v="0"/>
  </r>
  <r>
    <x v="0"/>
    <x v="5"/>
    <s v="R05030008"/>
    <s v="SLAGE JAAM"/>
    <s v="MT"/>
    <n v="0"/>
    <m/>
    <n v="0"/>
  </r>
  <r>
    <x v="0"/>
    <x v="5"/>
    <s v="R05040001"/>
    <s v="FERRO SILICON"/>
    <s v="MT"/>
    <n v="0.05"/>
    <n v="107000"/>
    <n v="5350"/>
  </r>
  <r>
    <x v="0"/>
    <x v="5"/>
    <s v="R05050002"/>
    <s v="ALUMINIUM INGOTS"/>
    <s v="MT"/>
    <n v="3.77"/>
    <n v="337144.99988297798"/>
    <n v="1271508.9998999999"/>
  </r>
  <r>
    <x v="0"/>
    <x v="5"/>
    <s v="S06010027"/>
    <s v="RAMMING MASS (PREMIX), BORON TRIOXIDE"/>
    <s v="KG"/>
    <n v="543000"/>
    <n v="9.5"/>
    <n v="5158500"/>
  </r>
  <r>
    <x v="0"/>
    <x v="5"/>
    <s v="S11011021"/>
    <s v="Black Paint"/>
    <s v="LTR"/>
    <n v="20"/>
    <n v="171.61500000000001"/>
    <n v="3432.2928000000002"/>
  </r>
  <r>
    <x v="0"/>
    <x v="5"/>
    <s v="S11011033"/>
    <s v="Paint Brush 2 "/>
    <s v="NOS"/>
    <n v="4"/>
    <n v="41.962000000000003"/>
    <n v="167.84652"/>
  </r>
  <r>
    <x v="0"/>
    <x v="5"/>
    <s v="S11021264"/>
    <s v="MS PIPE, SEAMLESS,  ID-235 MM, OD-285 MM"/>
    <s v="MTR"/>
    <n v="6"/>
    <n v="16563.883999999998"/>
    <n v="99383.305259999994"/>
  </r>
  <r>
    <x v="0"/>
    <x v="5"/>
    <s v="S11090001"/>
    <s v="THINNER"/>
    <s v="LTR"/>
    <n v="20"/>
    <n v="116.697"/>
    <n v="2333.9344000000001"/>
  </r>
  <r>
    <x v="0"/>
    <x v="5"/>
    <s v="S11090004"/>
    <s v="YELLOW PAINT"/>
    <s v="LTR"/>
    <n v="40"/>
    <n v="178.512"/>
    <n v="7140.4787999999999"/>
  </r>
  <r>
    <x v="0"/>
    <x v="5"/>
    <s v="S12010234"/>
    <s v="Chiesels 24'' Point"/>
    <s v="NOS"/>
    <n v="1"/>
    <n v="846.92499999999995"/>
    <n v="846.92499999999995"/>
  </r>
  <r>
    <x v="0"/>
    <x v="5"/>
    <s v="S12040001"/>
    <s v="Flat chisel 12'"/>
    <s v="NOS"/>
    <n v="6"/>
    <n v="1078.1110000000001"/>
    <n v="6468.6666599999999"/>
  </r>
  <r>
    <x v="0"/>
    <x v="5"/>
    <s v="S14010007"/>
    <s v="Asbestos Hand Gloves 18''"/>
    <s v="PRS"/>
    <n v="275"/>
    <n v="56.483037037037001"/>
    <n v="15535.419250000001"/>
  </r>
  <r>
    <x v="0"/>
    <x v="5"/>
    <s v="S14010025"/>
    <s v="HAND GLOVES COTTON"/>
    <s v="PRS"/>
    <n v="18"/>
    <n v="10.955399999999999"/>
    <n v="197.15333999999999"/>
  </r>
  <r>
    <x v="0"/>
    <x v="5"/>
    <s v="S14010032"/>
    <s v="Nose Masks"/>
    <s v="NOS"/>
    <n v="311"/>
    <n v="2.1444999999999999"/>
    <n v="666.60037"/>
  </r>
  <r>
    <x v="0"/>
    <x v="5"/>
    <s v="S14010036"/>
    <s v="Safety Goggles"/>
    <s v="NOS"/>
    <n v="14"/>
    <n v="39.58"/>
    <n v="554.12"/>
  </r>
  <r>
    <x v="0"/>
    <x v="5"/>
    <s v="S14010091"/>
    <s v="BIKE HELMET"/>
    <s v="NOS"/>
    <n v="1"/>
    <n v="667.5"/>
    <n v="667.5"/>
  </r>
  <r>
    <x v="0"/>
    <x v="5"/>
    <s v="S15010034"/>
    <s v="Tata Shovel"/>
    <s v="NOS"/>
    <n v="5"/>
    <n v="570.86633333333305"/>
    <n v="2875.1985"/>
  </r>
  <r>
    <x v="0"/>
    <x v="5"/>
    <s v="S15010204"/>
    <s v="ASBESTOS SHEET, 3MM THICKNESS"/>
    <s v="KG"/>
    <n v="905"/>
    <n v="28.509806451612899"/>
    <n v="25804.999950000001"/>
  </r>
  <r>
    <x v="0"/>
    <x v="5"/>
    <s v="S16010105"/>
    <s v="Teflon Tape"/>
    <s v="NOS"/>
    <n v="2"/>
    <n v="7.5039999999999996"/>
    <n v="15.007"/>
  </r>
  <r>
    <x v="0"/>
    <x v="5"/>
    <s v="S16010209"/>
    <s v="Asbestos Cloth"/>
    <s v="KG"/>
    <n v="14"/>
    <n v="149.071"/>
    <n v="2086.9914800000001"/>
  </r>
  <r>
    <x v="0"/>
    <x v="5"/>
    <s v="S16030112"/>
    <s v="NYLON ROPE DIA 16 MM"/>
    <s v="MTR"/>
    <n v="20"/>
    <n v="26.18"/>
    <n v="335.89627999999999"/>
  </r>
  <r>
    <x v="0"/>
    <x v="5"/>
    <s v="S18010052"/>
    <s v="Coconut Broom"/>
    <s v="NOS"/>
    <n v="19"/>
    <n v="22"/>
    <n v="418"/>
  </r>
  <r>
    <x v="0"/>
    <x v="5"/>
    <s v="S18060001"/>
    <s v="Cotton Waste"/>
    <s v="KG"/>
    <n v="10"/>
    <n v="22"/>
    <n v="220.00002000000001"/>
  </r>
  <r>
    <x v="0"/>
    <x v="5"/>
    <s v="S18060037"/>
    <s v="LPG gas Cylinder 19 kgs"/>
    <s v="NOS"/>
    <n v="16"/>
    <n v="2423.5471250000001"/>
    <n v="38776.751689999997"/>
  </r>
  <r>
    <x v="0"/>
    <x v="5"/>
    <s v="S21010337"/>
    <s v="MS SHEET PLAIN 5000 MM X 1500 MM X 2.5 MM"/>
    <s v="KG"/>
    <n v="29600"/>
    <n v="58.282850000000003"/>
    <n v="1725177.9543999999"/>
  </r>
  <r>
    <x v="0"/>
    <x v="5"/>
    <s v="S21030028"/>
    <s v="MS ROUND BAR 25 MM"/>
    <s v="KG"/>
    <n v="46"/>
    <n v="55.4"/>
    <n v="2548.4"/>
  </r>
  <r>
    <x v="0"/>
    <x v="5"/>
    <s v="S22010230"/>
    <s v="SODIUM SILICATE COMMERCIAL GRADE"/>
    <s v="KG"/>
    <n v="16850"/>
    <n v="15"/>
    <n v="252750"/>
  </r>
  <r>
    <x v="0"/>
    <x v="5"/>
    <s v="S22010337"/>
    <s v="IMMERSION SAMPLER (ZR-600MM)"/>
    <s v="NOS"/>
    <n v="4664"/>
    <n v="29.214466666666599"/>
    <n v="136274.91063999999"/>
  </r>
  <r>
    <x v="0"/>
    <x v="5"/>
    <s v="S24020002"/>
    <s v="STRAIGHT CUTTING TORCH (48')"/>
    <s v="NOS"/>
    <n v="1"/>
    <n v="17061.066999999999"/>
    <n v="17061.06666"/>
  </r>
  <r>
    <x v="0"/>
    <x v="5"/>
    <s v="S24020005"/>
    <s v="CUTTING NOZZLE 1/8'"/>
    <s v="NOS"/>
    <n v="16"/>
    <n v="215.54572727272699"/>
    <n v="3420.3686200000002"/>
  </r>
  <r>
    <x v="0"/>
    <x v="5"/>
    <s v="S26070158"/>
    <s v="THERMOCOUPLE TEMPARATURE TIPS 900 MM, TYPE-R, MARK VII-900 MM,"/>
    <s v="NOS"/>
    <n v="5025"/>
    <n v="32.699226666666597"/>
    <n v="164313.815"/>
  </r>
  <r>
    <x v="0"/>
    <x v="5"/>
    <s v="S28010019"/>
    <s v="OPC Cement 53 Grade"/>
    <s v="BAG"/>
    <n v="56"/>
    <n v="225.608"/>
    <n v="12634.06984"/>
  </r>
  <r>
    <x v="0"/>
    <x v="5"/>
    <s v="S28020031"/>
    <s v="CEMENT- GP2 GROUTING"/>
    <s v="BGS"/>
    <n v="5"/>
    <n v="559.6"/>
    <n v="2798"/>
  </r>
  <r>
    <x v="0"/>
    <x v="5"/>
    <s v="S32010044"/>
    <s v="Diesel"/>
    <s v="LTR"/>
    <n v="16231.47"/>
    <n v="101.00304411764699"/>
    <n v="1633488.55146"/>
  </r>
  <r>
    <x v="0"/>
    <x v="5"/>
    <s v="S34010004"/>
    <s v="Whytheat - C"/>
    <s v="MT"/>
    <n v="1.4750000000000001"/>
    <n v="24586.271000000001"/>
    <n v="36264.750010000003"/>
  </r>
  <r>
    <x v="0"/>
    <x v="5"/>
    <s v="S34010008"/>
    <s v="RAMMING MASS (ORDINARY)"/>
    <s v="KG"/>
    <n v="95600"/>
    <n v="3.8"/>
    <n v="363280"/>
  </r>
  <r>
    <x v="0"/>
    <x v="5"/>
    <s v="S34010010"/>
    <s v="WHYTHEAT-A"/>
    <s v="KG"/>
    <n v="4550"/>
    <n v="96.5"/>
    <n v="439075"/>
  </r>
  <r>
    <x v="0"/>
    <x v="5"/>
    <s v="S34010028"/>
    <s v="REMIX POWDER (ALUMINA-75%)"/>
    <s v="KG"/>
    <n v="113900"/>
    <n v="10.5"/>
    <n v="1195950"/>
  </r>
  <r>
    <x v="0"/>
    <x v="5"/>
    <s v="S34010036"/>
    <s v="LIME"/>
    <s v="KG"/>
    <n v="1550"/>
    <n v="14"/>
    <n v="21700"/>
  </r>
  <r>
    <x v="0"/>
    <x v="5"/>
    <s v="S34010061"/>
    <s v="DORICAST RC 1750 0-1 MM"/>
    <s v="KG"/>
    <n v="500"/>
    <n v="200.75"/>
    <n v="100550"/>
  </r>
  <r>
    <x v="0"/>
    <x v="5"/>
    <s v="S34010062"/>
    <s v="DORIFLOW MC 1750 0-2 MM"/>
    <s v="KG"/>
    <n v="1450"/>
    <n v="207.828"/>
    <n v="301350.00550000003"/>
  </r>
  <r>
    <x v="0"/>
    <x v="5"/>
    <s v="S35010004"/>
    <s v="EMPTY GUNNY BAG, CAP. 50 KG"/>
    <s v="NOS"/>
    <n v="4250"/>
    <n v="10.6993846153846"/>
    <n v="45495.832000000002"/>
  </r>
  <r>
    <x v="0"/>
    <x v="5"/>
    <s v="S35010013"/>
    <s v="PP SUTLI ROPE THICK UP TO 2 MM"/>
    <s v="RL"/>
    <n v="2"/>
    <n v="131"/>
    <n v="262"/>
  </r>
  <r>
    <x v="0"/>
    <x v="6"/>
    <s v="R05040001"/>
    <s v="FERRO SILICON"/>
    <s v="MT"/>
    <n v="0.03"/>
    <n v="107000"/>
    <n v="3210"/>
  </r>
  <r>
    <x v="0"/>
    <x v="6"/>
    <s v="S03010007"/>
    <s v="BRASS SPRAY NOZZLE (8045)"/>
    <s v="NOS"/>
    <n v="10"/>
    <n v="172.8"/>
    <n v="1728"/>
  </r>
  <r>
    <x v="0"/>
    <x v="6"/>
    <s v="S03010297"/>
    <s v="MULTIPLE TAPPER COPPER MOULD TUBE SECTION 160 SQ MM, LENGTH 900MM ,RADIOUS 6000MM, WALL THICKNESS 12"/>
    <s v="NOS"/>
    <n v="4"/>
    <n v="146546.76225"/>
    <n v="586187.04902999999"/>
  </r>
  <r>
    <x v="0"/>
    <x v="6"/>
    <s v="S03010301"/>
    <s v="MULTIPLE TAPPER COPPER MOULD TUBE SECTION 130 SQ MM, LENGTH 900MM, RADIOUS 6000MM, WALL THICKNESS 12"/>
    <s v="NOS"/>
    <n v="5"/>
    <n v="93891.077399999995"/>
    <n v="469455.38922999997"/>
  </r>
  <r>
    <x v="0"/>
    <x v="6"/>
    <s v="S06010026"/>
    <s v="TUNDISH NOZZLE DIA 17 MM"/>
    <s v="NOS"/>
    <n v="1715"/>
    <n v="249.904454545454"/>
    <n v="428242.40824999998"/>
  </r>
  <r>
    <x v="0"/>
    <x v="6"/>
    <s v="S06010027"/>
    <s v="RAMMING MASS (PREMIX), BORON TRIOXIDE"/>
    <s v="KG"/>
    <n v="78700"/>
    <n v="9.5"/>
    <n v="747650"/>
  </r>
  <r>
    <x v="0"/>
    <x v="6"/>
    <s v="S06010028"/>
    <s v="TUNDISH NOZZLE DIA 17.5 MM"/>
    <s v="NOS"/>
    <n v="1553"/>
    <n v="249.184716981132"/>
    <n v="387024.62147000001"/>
  </r>
  <r>
    <x v="0"/>
    <x v="6"/>
    <s v="S06010033"/>
    <s v="CASTING POWDER JG-MF-16 (P)"/>
    <s v="KG"/>
    <n v="5370"/>
    <n v="55"/>
    <n v="295350"/>
  </r>
  <r>
    <x v="0"/>
    <x v="6"/>
    <s v="S11011032"/>
    <s v="Paint Brush 100mm"/>
    <s v="NOS"/>
    <n v="4"/>
    <n v="135.65700000000001"/>
    <n v="542.62783999999999"/>
  </r>
  <r>
    <x v="0"/>
    <x v="6"/>
    <s v="S11011042"/>
    <s v="Red Oxide Zinc Chromate Primer Paint"/>
    <s v="LTR"/>
    <n v="20"/>
    <n v="92.38"/>
    <n v="1847.5952"/>
  </r>
  <r>
    <x v="0"/>
    <x v="6"/>
    <s v="S11011043"/>
    <s v="Sea Bus Green Paint"/>
    <s v="LTR"/>
    <n v="20"/>
    <n v="167.80799999999999"/>
    <n v="3356.1606000000002"/>
  </r>
  <r>
    <x v="0"/>
    <x v="6"/>
    <s v="S11020473"/>
    <s v="LANCING PIPE, SIZE: OD 13 MM, ID 10MM"/>
    <s v="MTR"/>
    <n v="7320"/>
    <n v="32"/>
    <n v="234240"/>
  </r>
  <r>
    <x v="0"/>
    <x v="6"/>
    <s v="S11020474"/>
    <s v="LANCING PIPE, SIZE: OD 6 MM, ID 4 MM"/>
    <s v="MTR"/>
    <n v="3610"/>
    <n v="13.4609375"/>
    <n v="48480"/>
  </r>
  <r>
    <x v="0"/>
    <x v="6"/>
    <s v="S11080006"/>
    <s v="LIFTING CHAIN GRADE 80, THICKNESS 20 MM  "/>
    <s v="MTR"/>
    <n v="50"/>
    <n v="1379"/>
    <n v="68950"/>
  </r>
  <r>
    <x v="0"/>
    <x v="6"/>
    <s v="S11090001"/>
    <s v="THINNER"/>
    <s v="LTR"/>
    <n v="60"/>
    <n v="116.5485"/>
    <n v="6995.8688000000002"/>
  </r>
  <r>
    <x v="0"/>
    <x v="6"/>
    <s v="S12010257"/>
    <s v="Measurement tape 5 Mtr"/>
    <s v="NOS"/>
    <n v="2"/>
    <n v="71.370999999999995"/>
    <n v="142.74184"/>
  </r>
  <r>
    <x v="0"/>
    <x v="6"/>
    <s v="S13060512"/>
    <s v="ALUMINIUM WIRE 4 MM (ROLL)"/>
    <s v="KG"/>
    <n v="600"/>
    <n v="394.33674999999999"/>
    <n v="235113.21400000001"/>
  </r>
  <r>
    <x v="0"/>
    <x v="6"/>
    <s v="S14010007"/>
    <s v="Asbestos Hand Gloves 18''"/>
    <s v="PRS"/>
    <n v="626"/>
    <n v="56.496581395348798"/>
    <n v="35361.826650000003"/>
  </r>
  <r>
    <x v="0"/>
    <x v="6"/>
    <s v="S14010017"/>
    <s v="Face shield"/>
    <s v="NOS"/>
    <n v="2"/>
    <n v="140.59299999999999"/>
    <n v="281.18644"/>
  </r>
  <r>
    <x v="0"/>
    <x v="6"/>
    <s v="S14010025"/>
    <s v="HAND GLOVES COTTON"/>
    <s v="PRS"/>
    <n v="300"/>
    <n v="10.9334285714285"/>
    <n v="3290.6504500000001"/>
  </r>
  <r>
    <x v="0"/>
    <x v="6"/>
    <s v="S14010063"/>
    <s v="LEATHER HAND GLOVES 18' INCH"/>
    <s v="PRS"/>
    <n v="3"/>
    <n v="66.875"/>
    <n v="201.65"/>
  </r>
  <r>
    <x v="0"/>
    <x v="6"/>
    <s v="S14010064"/>
    <s v="LEATHER LEG GUARD"/>
    <s v="PRS"/>
    <n v="8"/>
    <n v="316.83800000000002"/>
    <n v="2534.70208"/>
  </r>
  <r>
    <x v="0"/>
    <x v="6"/>
    <s v="S14010303"/>
    <s v="LEATHER APRON FOR WELDING/CUTTING (MAKE:ESAB)"/>
    <s v="NOS"/>
    <n v="4"/>
    <n v="526.81299999999999"/>
    <n v="2107.2508800000001"/>
  </r>
  <r>
    <x v="0"/>
    <x v="6"/>
    <s v="S15010042"/>
    <s v="Wire Brush"/>
    <s v="NOS"/>
    <n v="4"/>
    <n v="24.567"/>
    <n v="98.266679999999994"/>
  </r>
  <r>
    <x v="0"/>
    <x v="6"/>
    <s v="S15010206"/>
    <s v="CAST IRON PLUG (DRG.NO. CI-8352.4)"/>
    <s v="NOS"/>
    <n v="35"/>
    <n v="20"/>
    <n v="700"/>
  </r>
  <r>
    <x v="0"/>
    <x v="6"/>
    <s v="S15010260"/>
    <s v="COLLECTOR NOZZLE HOLDER (2QC)"/>
    <s v="NOS"/>
    <n v="6"/>
    <n v="1241.3789999999999"/>
    <n v="7448.2758599999997"/>
  </r>
  <r>
    <x v="0"/>
    <x v="6"/>
    <s v="S15010320"/>
    <s v="SLIDER FOR 2QC LADDLE"/>
    <s v="NOS"/>
    <n v="3"/>
    <n v="9018"/>
    <n v="27054"/>
  </r>
  <r>
    <x v="0"/>
    <x v="6"/>
    <s v="S15010326"/>
    <s v="EYE BOLT FOR 2QC  MACHINE"/>
    <s v="NOS"/>
    <n v="5"/>
    <n v="2951.6"/>
    <n v="14757.999949999999"/>
  </r>
  <r>
    <x v="0"/>
    <x v="6"/>
    <s v="S15010665"/>
    <s v="CAST IRON PLUG CONICAL SHAPE BOTTOM DIA -50 MM, LENGTH -70 MM"/>
    <s v="NOS"/>
    <n v="30"/>
    <n v="38.968000000000004"/>
    <n v="1169.0481"/>
  </r>
  <r>
    <x v="0"/>
    <x v="6"/>
    <s v="S15020303"/>
    <s v="PAINT SPRAY GUN"/>
    <s v="NOS"/>
    <n v="2"/>
    <n v="2150"/>
    <n v="4300"/>
  </r>
  <r>
    <x v="0"/>
    <x v="6"/>
    <s v="S18010052"/>
    <s v="Coconut Broom"/>
    <s v="NOS"/>
    <n v="14"/>
    <n v="22"/>
    <n v="308"/>
  </r>
  <r>
    <x v="0"/>
    <x v="6"/>
    <s v="S18010057"/>
    <s v="Smooth Broom"/>
    <s v="NOS"/>
    <n v="2"/>
    <n v="65"/>
    <n v="130"/>
  </r>
  <r>
    <x v="0"/>
    <x v="6"/>
    <s v="S18060001"/>
    <s v="Cotton Waste"/>
    <s v="KG"/>
    <n v="5"/>
    <n v="22"/>
    <n v="110"/>
  </r>
  <r>
    <x v="0"/>
    <x v="6"/>
    <s v="S18060037"/>
    <s v="LPG gas Cylinder 19 kgs"/>
    <s v="NOS"/>
    <n v="111"/>
    <n v="2420.7773768115899"/>
    <n v="265114.03097000002"/>
  </r>
  <r>
    <x v="0"/>
    <x v="6"/>
    <s v="S18070006"/>
    <s v="FAWDA /HOE"/>
    <s v="NOS"/>
    <n v="8"/>
    <n v="202.80466666666601"/>
    <n v="1619.5846799999999"/>
  </r>
  <r>
    <x v="0"/>
    <x v="6"/>
    <s v="S21010006"/>
    <s v="TMT Bars 8 mm"/>
    <s v="MT"/>
    <n v="17.55"/>
    <n v="45641.045322033802"/>
    <n v="801428.42036999995"/>
  </r>
  <r>
    <x v="0"/>
    <x v="6"/>
    <s v="S21010337"/>
    <s v="MS SHEET PLAIN 5000 MM X 1500 MM X 2.5 MM"/>
    <s v="KG"/>
    <n v="1472"/>
    <n v="57.780999999999999"/>
    <n v="85053.73504"/>
  </r>
  <r>
    <x v="0"/>
    <x v="6"/>
    <s v="S21030028"/>
    <s v="MS ROUND BAR 25 MM"/>
    <s v="KG"/>
    <n v="24"/>
    <n v="55.4"/>
    <n v="1329.6"/>
  </r>
  <r>
    <x v="0"/>
    <x v="6"/>
    <s v="S22010230"/>
    <s v="SODIUM SILICATE COMMERCIAL GRADE"/>
    <s v="KG"/>
    <n v="350"/>
    <n v="15"/>
    <n v="5250"/>
  </r>
  <r>
    <x v="0"/>
    <x v="6"/>
    <s v="S22020023"/>
    <s v="CHEMICAL 3110"/>
    <s v="KG"/>
    <n v="180"/>
    <n v="264.555833333333"/>
    <n v="47620.000500000002"/>
  </r>
  <r>
    <x v="0"/>
    <x v="6"/>
    <s v="S22020024"/>
    <s v="CHEMICAL 1275I"/>
    <s v="KG"/>
    <n v="180"/>
    <n v="264.555833333333"/>
    <n v="47620.000500000002"/>
  </r>
  <r>
    <x v="0"/>
    <x v="6"/>
    <s v="S24010010"/>
    <s v="M.S Welding Electrodes 4mm"/>
    <s v="PKT"/>
    <n v="4"/>
    <n v="351.39600000000002"/>
    <n v="1409.8511000000001"/>
  </r>
  <r>
    <x v="0"/>
    <x v="6"/>
    <s v="S24020001"/>
    <s v="LIQUID OXYGEN"/>
    <s v="CMT"/>
    <n v="39973.599999999999"/>
    <n v="13.45"/>
    <n v="537644.92000000004"/>
  </r>
  <r>
    <x v="0"/>
    <x v="6"/>
    <s v="S26070158"/>
    <s v="THERMOCOUPLE TEMPARATURE TIPS 900 MM, TYPE-R, MARK VII-900 MM,"/>
    <s v="NOS"/>
    <n v="3551"/>
    <n v="32.703962264150903"/>
    <n v="116131.88658000001"/>
  </r>
  <r>
    <x v="0"/>
    <x v="6"/>
    <s v="S28010019"/>
    <s v="OPC Cement 53 Grade"/>
    <s v="BAG"/>
    <n v="50"/>
    <n v="225.608"/>
    <n v="11280.4195"/>
  </r>
  <r>
    <x v="0"/>
    <x v="6"/>
    <s v="S28020081"/>
    <s v="TAGARI, GI, 18'"/>
    <s v="NOS"/>
    <n v="20"/>
    <n v="170.208"/>
    <n v="3404.1626000000001"/>
  </r>
  <r>
    <x v="0"/>
    <x v="6"/>
    <s v="S32010044"/>
    <s v="Diesel"/>
    <s v="LTR"/>
    <n v="8"/>
    <n v="100.7"/>
    <n v="805.6"/>
  </r>
  <r>
    <x v="0"/>
    <x v="6"/>
    <s v="S32030042"/>
    <s v="ARGON CYLINDER - A GRADE, PURITY &gt;99.9995%"/>
    <s v="NOS"/>
    <n v="134"/>
    <n v="1750"/>
    <n v="234500"/>
  </r>
  <r>
    <x v="0"/>
    <x v="6"/>
    <s v="S34010004"/>
    <s v="Whytheat - C"/>
    <s v="MT"/>
    <n v="18.175000000000001"/>
    <n v="24544.468085106299"/>
    <n v="446027.625"/>
  </r>
  <r>
    <x v="0"/>
    <x v="6"/>
    <s v="S34010008"/>
    <s v="RAMMING MASS (ORDINARY)"/>
    <s v="KG"/>
    <n v="2100"/>
    <n v="3.8"/>
    <n v="7980"/>
  </r>
  <r>
    <x v="0"/>
    <x v="6"/>
    <s v="S34010010"/>
    <s v="WHYTHEAT-A"/>
    <s v="KG"/>
    <n v="175"/>
    <n v="96.5"/>
    <n v="16887.5"/>
  </r>
  <r>
    <x v="0"/>
    <x v="6"/>
    <s v="S34010012"/>
    <s v="MORTAR SMA-70K"/>
    <s v="KG"/>
    <n v="200"/>
    <n v="35"/>
    <n v="7000"/>
  </r>
  <r>
    <x v="0"/>
    <x v="6"/>
    <s v="S34010013"/>
    <s v="TUNDISH BOARD (FULL SET)"/>
    <s v="SET"/>
    <n v="1093"/>
    <n v="4194.60112765957"/>
    <n v="4584963.8800299997"/>
  </r>
  <r>
    <x v="0"/>
    <x v="6"/>
    <s v="S34010018"/>
    <s v="POROUS PLUG 2QC"/>
    <s v="NOS"/>
    <n v="53"/>
    <n v="2347.9070384615302"/>
    <n v="124423.02441"/>
  </r>
  <r>
    <x v="0"/>
    <x v="6"/>
    <s v="S34010022"/>
    <s v="TUNDISH NOZZLE WELL BLOCK"/>
    <s v="NOS"/>
    <n v="3276"/>
    <n v="48.120097826086898"/>
    <n v="157649.43122999999"/>
  </r>
  <r>
    <x v="0"/>
    <x v="6"/>
    <s v="S34010024"/>
    <s v="NOZZLE FILING COMPOUND"/>
    <s v="KG"/>
    <n v="11125"/>
    <n v="16"/>
    <n v="177999.9785"/>
  </r>
  <r>
    <x v="0"/>
    <x v="6"/>
    <s v="S34010025"/>
    <s v="GARSEAL"/>
    <s v="KG"/>
    <n v="9100"/>
    <n v="11.9881505376344"/>
    <n v="108736.118"/>
  </r>
  <r>
    <x v="0"/>
    <x v="6"/>
    <s v="S34010026"/>
    <s v="LADDLE NOZZLE WELL BLOCK 2QC"/>
    <s v="NOS"/>
    <n v="7"/>
    <n v="8680.8128571428497"/>
    <n v="60765.69"/>
  </r>
  <r>
    <x v="0"/>
    <x v="6"/>
    <s v="S34010027"/>
    <s v="POROUS PLUG WELL BLOCK 2QC"/>
    <s v="NOS"/>
    <n v="7"/>
    <n v="8680.8128571428497"/>
    <n v="60765.69"/>
  </r>
  <r>
    <x v="0"/>
    <x v="6"/>
    <s v="S34010031"/>
    <s v="ALUMINA BRICKS 70%, SIZE: 230MMx115MMx40MM"/>
    <s v="NOS"/>
    <n v="262"/>
    <n v="58.155000000000001"/>
    <n v="15236.49734"/>
  </r>
  <r>
    <x v="0"/>
    <x v="6"/>
    <s v="S34010034"/>
    <s v="HIGH ALUMINA MORTAR 90K"/>
    <s v="KG"/>
    <n v="4800"/>
    <n v="84.866851485148501"/>
    <n v="407393.09850000002"/>
  </r>
  <r>
    <x v="0"/>
    <x v="6"/>
    <s v="S34010035"/>
    <s v="RADEX, SLAG INSULATION POWDER FOR TUNDISH"/>
    <s v="KG"/>
    <n v="65250"/>
    <n v="4.10892391304347"/>
    <n v="268098.89750000002"/>
  </r>
  <r>
    <x v="0"/>
    <x v="6"/>
    <s v="S34010040"/>
    <s v="SLIDE GATE PLATE 2QC- 28 MM"/>
    <s v="NOS"/>
    <n v="736"/>
    <n v="874.50677419354804"/>
    <n v="643626.40326000005"/>
  </r>
  <r>
    <x v="0"/>
    <x v="6"/>
    <s v="S34010041"/>
    <s v="LADDLE NOZZLE 2QC-28 MM"/>
    <s v="NOS"/>
    <n v="368"/>
    <n v="564.03869892473097"/>
    <n v="207566.74525000001"/>
  </r>
  <r>
    <x v="0"/>
    <x v="6"/>
    <s v="S34010042"/>
    <s v="LADDLE COLLECTOR NOZZLE 2QC-28 MM"/>
    <s v="NOS"/>
    <n v="368"/>
    <n v="564.15593548387005"/>
    <n v="207610.35693000001"/>
  </r>
  <r>
    <x v="0"/>
    <x v="6"/>
    <s v="S34010043"/>
    <s v="CALCIUM SILICIDE"/>
    <s v="MT"/>
    <n v="2.5999999999999999E-2"/>
    <n v="185280.38933333301"/>
    <n v="4817.7787600000001"/>
  </r>
  <r>
    <x v="0"/>
    <x v="6"/>
    <s v="S34010062"/>
    <s v="DORIFLOW MC 1750 0-2 MM"/>
    <s v="KG"/>
    <n v="550"/>
    <n v="212"/>
    <n v="116600"/>
  </r>
  <r>
    <x v="0"/>
    <x v="7"/>
    <s v="S12010208"/>
    <s v="Cutting Wheel 14"/>
    <s v="NOS"/>
    <n v="2"/>
    <n v="105"/>
    <n v="210"/>
  </r>
  <r>
    <x v="0"/>
    <x v="7"/>
    <s v="S12030309"/>
    <s v="METAL CUT-OFF SAW MACHINE"/>
    <s v="NOS"/>
    <n v="1"/>
    <n v="9370.4950000000008"/>
    <n v="9370.4953000000005"/>
  </r>
  <r>
    <x v="0"/>
    <x v="7"/>
    <s v="S15010434"/>
    <s v="SPECTRO POLISHER MACHINE PAPER, Size &gt;14', 350 mm dia"/>
    <s v="NOS"/>
    <n v="200"/>
    <n v="77.044333333333299"/>
    <n v="15813.33093"/>
  </r>
  <r>
    <x v="0"/>
    <x v="7"/>
    <s v="S15020263"/>
    <s v="MEASURING TAPE SIZE 10 MTR"/>
    <s v="NOS"/>
    <n v="1"/>
    <n v="192.077"/>
    <n v="192.07667000000001"/>
  </r>
  <r>
    <x v="0"/>
    <x v="7"/>
    <s v="S18050099"/>
    <s v="SLIDE RAIL KC-251-20 (2 NOS)"/>
    <s v="NOS"/>
    <n v="1"/>
    <n v="19100"/>
    <n v="19100"/>
  </r>
  <r>
    <x v="0"/>
    <x v="7"/>
    <s v="S22010038"/>
    <s v="FILTER PAPER 41"/>
    <s v="BOX"/>
    <n v="1"/>
    <n v="3140.1039999999998"/>
    <n v="3140.1039000000001"/>
  </r>
  <r>
    <x v="0"/>
    <x v="7"/>
    <s v="S22010040"/>
    <s v="FILTER PAPER ASHLESS CLIPPINGS"/>
    <s v="KG"/>
    <n v="0.5"/>
    <n v="9556.6"/>
    <n v="4778.3"/>
  </r>
  <r>
    <x v="0"/>
    <x v="7"/>
    <s v="S22010067"/>
    <s v="MERCURIC CHLORIDE"/>
    <s v="KG"/>
    <n v="1.75"/>
    <n v="38125"/>
    <n v="66625"/>
  </r>
  <r>
    <x v="0"/>
    <x v="7"/>
    <s v="S22010074"/>
    <s v="NITRIC ACID"/>
    <s v="LTR"/>
    <n v="2.5"/>
    <n v="378.82900000000001"/>
    <n v="947.07243000000005"/>
  </r>
  <r>
    <x v="0"/>
    <x v="7"/>
    <s v="S22010104"/>
    <s v="SILICON CARBIDE ROD"/>
    <s v="NOS"/>
    <n v="7"/>
    <n v="261.63499999999999"/>
    <n v="1831.4477300000001"/>
  </r>
  <r>
    <x v="0"/>
    <x v="7"/>
    <s v="S22010168"/>
    <s v="SULPHURIC ACID"/>
    <s v="LTR"/>
    <n v="5"/>
    <n v="150.018"/>
    <n v="750.09185000000002"/>
  </r>
  <r>
    <x v="0"/>
    <x v="7"/>
    <s v="S22010171"/>
    <s v="TIN METAL"/>
    <s v="KG"/>
    <n v="0.3"/>
    <n v="7917.3850000000002"/>
    <n v="2375.2154399999999"/>
  </r>
  <r>
    <x v="0"/>
    <x v="7"/>
    <s v="S22010271"/>
    <s v="Combustion Boat"/>
    <s v="BOX"/>
    <n v="2"/>
    <n v="1012.816"/>
    <n v="2025.63158"/>
  </r>
  <r>
    <x v="0"/>
    <x v="7"/>
    <s v="S22010386"/>
    <s v="BRUSH 0.6 X 6 X 43 SW (ELECTRODE CLEANING)"/>
    <s v="NOS"/>
    <n v="1"/>
    <n v="11900"/>
    <n v="11900"/>
  </r>
  <r>
    <x v="0"/>
    <x v="7"/>
    <s v="S26010149"/>
    <s v="METAL SCALE 12' LENGTH"/>
    <s v="NOS"/>
    <n v="1"/>
    <n v="68.116"/>
    <n v="76.169120000000007"/>
  </r>
  <r>
    <x v="0"/>
    <x v="7"/>
    <s v="S32030045"/>
    <s v="UHP GRADE ARGON CYLINDER PURITY &gt;99.9995%"/>
    <s v="NOS"/>
    <n v="11"/>
    <n v="3500"/>
    <n v="38500"/>
  </r>
  <r>
    <x v="0"/>
    <x v="8"/>
    <s v="S08070251"/>
    <s v="MS WASHER - ID M16"/>
    <s v="KG"/>
    <n v="3"/>
    <n v="62.798999999999999"/>
    <n v="188.39697000000001"/>
  </r>
  <r>
    <x v="0"/>
    <x v="8"/>
    <s v="S08070320"/>
    <s v="MS HEX BOLT M16 X 65"/>
    <s v="KG"/>
    <n v="2"/>
    <n v="80.488"/>
    <n v="160.97569999999999"/>
  </r>
  <r>
    <x v="0"/>
    <x v="8"/>
    <s v="S08070321"/>
    <s v="MS HEX BOLT M16 X 75"/>
    <s v="KG"/>
    <n v="10"/>
    <n v="81.802999999999997"/>
    <n v="818.02539999999999"/>
  </r>
  <r>
    <x v="0"/>
    <x v="8"/>
    <s v="S08070334"/>
    <s v="MS HEX NUT M16"/>
    <s v="KG"/>
    <n v="3"/>
    <n v="83.563999999999993"/>
    <n v="250.69155000000001"/>
  </r>
  <r>
    <x v="0"/>
    <x v="8"/>
    <s v="S11010347"/>
    <s v="GI Nipples 1'' x 4''"/>
    <s v="NOS"/>
    <n v="2"/>
    <n v="25.488"/>
    <n v="50.975920000000002"/>
  </r>
  <r>
    <x v="0"/>
    <x v="8"/>
    <s v="S11010443"/>
    <s v="MS Flanges 6''"/>
    <s v="NOS"/>
    <n v="30"/>
    <n v="356.56900000000002"/>
    <n v="10277.722"/>
  </r>
  <r>
    <x v="0"/>
    <x v="8"/>
    <s v="S11010467"/>
    <s v="MS Short bends 6''"/>
    <s v="NOS"/>
    <n v="6"/>
    <n v="468.97800000000001"/>
    <n v="2813.8681200000001"/>
  </r>
  <r>
    <x v="0"/>
    <x v="8"/>
    <s v="S11010823"/>
    <s v="Butter Fly Valve 6''"/>
    <s v="NOS"/>
    <n v="2"/>
    <n v="1450"/>
    <n v="2900"/>
  </r>
  <r>
    <x v="0"/>
    <x v="8"/>
    <s v="S11011036"/>
    <s v="Paint Rollers"/>
    <s v="NOS"/>
    <n v="4"/>
    <n v="115.616"/>
    <n v="462.46596"/>
  </r>
  <r>
    <x v="0"/>
    <x v="8"/>
    <s v="S11011042"/>
    <s v="Red Oxide Zinc Chromate Primer Paint"/>
    <s v="LTR"/>
    <n v="20"/>
    <n v="92.38"/>
    <n v="1847.5952"/>
  </r>
  <r>
    <x v="0"/>
    <x v="8"/>
    <s v="S11011043"/>
    <s v="Sea Bus Green Paint"/>
    <s v="LTR"/>
    <n v="20"/>
    <n v="168.76"/>
    <n v="3375.1936000000001"/>
  </r>
  <r>
    <x v="0"/>
    <x v="8"/>
    <s v="S11020094"/>
    <s v="PIPE,MS,ERW,C-CLASS,NB-6'"/>
    <s v="MTR"/>
    <n v="126"/>
    <n v="1361.508"/>
    <n v="171550"/>
  </r>
  <r>
    <x v="0"/>
    <x v="8"/>
    <s v="S11020429"/>
    <s v="MS REDUCER,CONCENTRIC, CONNECTOR  8' X 6'"/>
    <s v="NOS"/>
    <n v="1"/>
    <n v="310.52300000000002"/>
    <n v="310.52289999999999"/>
  </r>
  <r>
    <x v="0"/>
    <x v="8"/>
    <s v="S11021246"/>
    <s v="CI VICTAULIC COUPLING RUBBER  1 1/2' / 40 MM"/>
    <s v="NOS"/>
    <n v="4"/>
    <n v="199.79499999999999"/>
    <n v="799.18032000000005"/>
  </r>
  <r>
    <x v="0"/>
    <x v="8"/>
    <s v="S11021267"/>
    <s v="PU T-CONNECTOR - 6MM"/>
    <s v="NOS"/>
    <n v="10"/>
    <n v="18.260000000000002"/>
    <n v="182.6"/>
  </r>
  <r>
    <x v="0"/>
    <x v="8"/>
    <s v="S11030863"/>
    <s v="DOSING PUMP MODEL M-13PP"/>
    <s v="NOS"/>
    <n v="1"/>
    <n v="51911.75"/>
    <n v="51911.75"/>
  </r>
  <r>
    <x v="0"/>
    <x v="8"/>
    <s v="S11090001"/>
    <s v="THINNER"/>
    <s v="LTR"/>
    <n v="20"/>
    <n v="116.697"/>
    <n v="2333.9344000000001"/>
  </r>
  <r>
    <x v="0"/>
    <x v="8"/>
    <s v="S11170069"/>
    <s v="RO MEMBRANE HM 8040 BWE 400"/>
    <s v="NOS"/>
    <n v="14"/>
    <n v="27500"/>
    <n v="385000"/>
  </r>
  <r>
    <x v="0"/>
    <x v="8"/>
    <s v="S11190744"/>
    <s v="MICRON CARTRIDGE FILTER FOR 50 KLD RO"/>
    <s v="NOS"/>
    <n v="48"/>
    <n v="210.28649999999999"/>
    <n v="10093.75008"/>
  </r>
  <r>
    <x v="0"/>
    <x v="8"/>
    <s v="S12010200"/>
    <s v="Cutting Wheel AG4"/>
    <s v="NOS"/>
    <n v="9"/>
    <n v="11.194333333333301"/>
    <n v="100.96932"/>
  </r>
  <r>
    <x v="0"/>
    <x v="8"/>
    <s v="S12010214"/>
    <s v="Grinding Wheel AG-4"/>
    <s v="NOS"/>
    <n v="4"/>
    <n v="30"/>
    <n v="120"/>
  </r>
  <r>
    <x v="0"/>
    <x v="8"/>
    <s v="S14010025"/>
    <s v="HAND GLOVES COTTON"/>
    <s v="PRS"/>
    <n v="6"/>
    <n v="10.5"/>
    <n v="63"/>
  </r>
  <r>
    <x v="0"/>
    <x v="8"/>
    <s v="S14010032"/>
    <s v="Nose Masks"/>
    <s v="NOS"/>
    <n v="6"/>
    <n v="2.0259999999999998"/>
    <n v="12.156420000000001"/>
  </r>
  <r>
    <x v="0"/>
    <x v="8"/>
    <s v="S14010063"/>
    <s v="LEATHER HAND GLOVES 18' INCH"/>
    <s v="PRS"/>
    <n v="2"/>
    <n v="66.619"/>
    <n v="133.23750000000001"/>
  </r>
  <r>
    <x v="0"/>
    <x v="8"/>
    <s v="S16010209"/>
    <s v="Asbestos Cloth"/>
    <s v="KG"/>
    <n v="4"/>
    <n v="149.071"/>
    <n v="596.28327999999999"/>
  </r>
  <r>
    <x v="0"/>
    <x v="8"/>
    <s v="S16010245"/>
    <s v="Non Metallic Gasket 3mm"/>
    <s v="KG"/>
    <n v="10"/>
    <n v="166.03800000000001"/>
    <n v="1660.38"/>
  </r>
  <r>
    <x v="0"/>
    <x v="8"/>
    <s v="S17010330"/>
    <s v="RACK  DRIVE GEAR BOX PN : S3 FOR 50 KL WTP HRSCC"/>
    <s v="NOS"/>
    <n v="1"/>
    <n v="75319.187999999995"/>
    <n v="75319.188080000007"/>
  </r>
  <r>
    <x v="0"/>
    <x v="8"/>
    <s v="S22010022"/>
    <s v="Chlorotex Reagent"/>
    <s v="LTR"/>
    <n v="1"/>
    <n v="1858.2059999999999"/>
    <n v="1858.2058199999999"/>
  </r>
  <r>
    <x v="0"/>
    <x v="8"/>
    <s v="S22010202"/>
    <s v="FeCl3 commercial"/>
    <s v="KG"/>
    <n v="800"/>
    <n v="42.081000000000003"/>
    <n v="33669"/>
  </r>
  <r>
    <x v="0"/>
    <x v="8"/>
    <s v="S22010211"/>
    <s v="Sodium hypo chlorite commercial"/>
    <s v="KG"/>
    <n v="4690"/>
    <n v="20.915333333333301"/>
    <n v="98370.004400000005"/>
  </r>
  <r>
    <x v="0"/>
    <x v="8"/>
    <s v="S22010238"/>
    <s v="HCL COMMERCIAL"/>
    <s v="KG"/>
    <n v="3900"/>
    <n v="9"/>
    <n v="35100"/>
  </r>
  <r>
    <x v="0"/>
    <x v="8"/>
    <s v="S22010282"/>
    <s v="SODIUM META BISULPHITE (Commercial)"/>
    <s v="KG"/>
    <n v="150"/>
    <n v="82.863"/>
    <n v="12429.495000000001"/>
  </r>
  <r>
    <x v="0"/>
    <x v="8"/>
    <s v="S22020018"/>
    <s v="INDION-8111"/>
    <s v="KG"/>
    <n v="270"/>
    <n v="373.846"/>
    <n v="100938.40919999999"/>
  </r>
  <r>
    <x v="0"/>
    <x v="8"/>
    <s v="S22030365"/>
    <s v="SIPHON PUMP FOR CHEMICALS"/>
    <s v="NOS"/>
    <n v="1"/>
    <n v="910"/>
    <n v="910"/>
  </r>
  <r>
    <x v="0"/>
    <x v="8"/>
    <s v="S24010009"/>
    <s v="M.S Welding Electrodes 3.15mm"/>
    <s v="PKT"/>
    <n v="4"/>
    <n v="288.45999999999998"/>
    <n v="1153.8387600000001"/>
  </r>
  <r>
    <x v="0"/>
    <x v="8"/>
    <s v="S24010018"/>
    <s v="Welding Glasses Black"/>
    <s v="NOS"/>
    <n v="2"/>
    <n v="12.14"/>
    <n v="24.279060000000001"/>
  </r>
  <r>
    <x v="0"/>
    <x v="8"/>
    <s v="S24010019"/>
    <s v="Welding Glasses White"/>
    <s v="NOS"/>
    <n v="2"/>
    <n v="2.6429999999999998"/>
    <n v="5.28512"/>
  </r>
  <r>
    <x v="0"/>
    <x v="8"/>
    <s v="S25010124"/>
    <s v="Bearings 6309ZZ C3"/>
    <s v="NOS"/>
    <n v="2"/>
    <n v="809.18600000000004"/>
    <n v="1618.37104"/>
  </r>
  <r>
    <x v="0"/>
    <x v="8"/>
    <s v="S30010147"/>
    <s v="SS MESH 100 MICRON, FOR BASKET STRAINER FILTER"/>
    <s v="MTR"/>
    <n v="1"/>
    <n v="535"/>
    <n v="535"/>
  </r>
  <r>
    <x v="0"/>
    <x v="8"/>
    <s v="S30020182"/>
    <s v="PU CONNECTOR EQUAL ELBOW ID-6 MM"/>
    <s v="NOS"/>
    <n v="10"/>
    <n v="60.264000000000003"/>
    <n v="602.64490000000001"/>
  </r>
  <r>
    <x v="0"/>
    <x v="8"/>
    <s v="S30020236"/>
    <s v="PNEUMATIC PU CONNECTOR - PUSH IN MALE 6 TO 8MM THREAD TYPE"/>
    <s v="NOS"/>
    <n v="10"/>
    <n v="20.75"/>
    <n v="20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5FEB3-6041-4C86-8B06-0195DF3C37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3" firstHeaderRow="1" firstDataRow="1" firstDataCol="2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9">
        <item x="0"/>
        <item x="1"/>
        <item x="2"/>
        <item x="3"/>
        <item x="4"/>
        <item x="6"/>
        <item x="5"/>
        <item x="7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Consumption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C0B4-D033-474A-BC3A-70ECDF39DAA3}">
  <dimension ref="A3:I29"/>
  <sheetViews>
    <sheetView workbookViewId="0">
      <selection activeCell="B23" sqref="B23"/>
    </sheetView>
  </sheetViews>
  <sheetFormatPr defaultRowHeight="14.4" x14ac:dyDescent="0.3"/>
  <cols>
    <col min="1" max="1" width="41.6640625" bestFit="1" customWidth="1"/>
    <col min="2" max="2" width="37.5546875" bestFit="1" customWidth="1"/>
    <col min="3" max="3" width="37.5546875" customWidth="1"/>
    <col min="4" max="4" width="14.21875" bestFit="1" customWidth="1"/>
    <col min="5" max="5" width="10.5546875" bestFit="1" customWidth="1"/>
    <col min="8" max="8" width="11.21875" bestFit="1" customWidth="1"/>
    <col min="9" max="9" width="13.88671875" bestFit="1" customWidth="1"/>
  </cols>
  <sheetData>
    <row r="3" spans="1:5" x14ac:dyDescent="0.3">
      <c r="A3" s="1" t="s">
        <v>6</v>
      </c>
      <c r="B3" s="1" t="s">
        <v>7</v>
      </c>
      <c r="C3" t="s">
        <v>1842</v>
      </c>
    </row>
    <row r="4" spans="1:5" x14ac:dyDescent="0.3">
      <c r="A4" t="s">
        <v>15</v>
      </c>
      <c r="B4" t="s">
        <v>16</v>
      </c>
      <c r="C4">
        <v>2099540.8607299998</v>
      </c>
    </row>
    <row r="5" spans="1:5" x14ac:dyDescent="0.3">
      <c r="B5" t="s">
        <v>306</v>
      </c>
      <c r="C5">
        <v>60013.579490000004</v>
      </c>
    </row>
    <row r="6" spans="1:5" x14ac:dyDescent="0.3">
      <c r="B6" t="s">
        <v>354</v>
      </c>
      <c r="C6">
        <v>1619842.266120001</v>
      </c>
    </row>
    <row r="7" spans="1:5" x14ac:dyDescent="0.3">
      <c r="B7" t="s">
        <v>827</v>
      </c>
      <c r="C7">
        <v>1148525.2051900001</v>
      </c>
    </row>
    <row r="8" spans="1:5" x14ac:dyDescent="0.3">
      <c r="B8" t="s">
        <v>1140</v>
      </c>
      <c r="C8">
        <v>5848551.2820699979</v>
      </c>
    </row>
    <row r="9" spans="1:5" x14ac:dyDescent="0.3">
      <c r="B9" t="s">
        <v>1681</v>
      </c>
      <c r="C9">
        <v>13402729.459899995</v>
      </c>
    </row>
    <row r="10" spans="1:5" x14ac:dyDescent="0.3">
      <c r="B10" t="s">
        <v>1620</v>
      </c>
      <c r="C10">
        <v>13097680.811349999</v>
      </c>
    </row>
    <row r="11" spans="1:5" x14ac:dyDescent="0.3">
      <c r="B11" t="s">
        <v>1761</v>
      </c>
      <c r="C11">
        <v>177634.93495</v>
      </c>
    </row>
    <row r="12" spans="1:5" x14ac:dyDescent="0.3">
      <c r="B12" t="s">
        <v>1792</v>
      </c>
      <c r="C12">
        <v>1010754.89602</v>
      </c>
    </row>
    <row r="13" spans="1:5" x14ac:dyDescent="0.3">
      <c r="A13" t="s">
        <v>1841</v>
      </c>
      <c r="C13">
        <v>38465273.295819998</v>
      </c>
    </row>
    <row r="16" spans="1:5" x14ac:dyDescent="0.3">
      <c r="A16" s="3" t="s">
        <v>6</v>
      </c>
      <c r="B16" s="3" t="s">
        <v>7</v>
      </c>
      <c r="C16" s="3" t="s">
        <v>1844</v>
      </c>
      <c r="D16" s="4" t="s">
        <v>1843</v>
      </c>
      <c r="E16" s="4" t="s">
        <v>1845</v>
      </c>
    </row>
    <row r="17" spans="1:9" x14ac:dyDescent="0.3">
      <c r="A17" s="2" t="s">
        <v>15</v>
      </c>
      <c r="B17" s="6" t="s">
        <v>16</v>
      </c>
      <c r="C17" s="2">
        <v>2099540.8607299998</v>
      </c>
      <c r="D17" s="2">
        <v>1522372.9992499994</v>
      </c>
      <c r="E17" s="7">
        <f>D17-C17</f>
        <v>-577167.86148000043</v>
      </c>
    </row>
    <row r="18" spans="1:9" x14ac:dyDescent="0.3">
      <c r="A18" s="2"/>
      <c r="B18" s="2" t="s">
        <v>306</v>
      </c>
      <c r="C18" s="2">
        <v>60013.579490000004</v>
      </c>
      <c r="D18" s="2"/>
      <c r="E18" s="5">
        <f t="shared" ref="E18:E26" si="0">D18-C18</f>
        <v>-60013.579490000004</v>
      </c>
    </row>
    <row r="19" spans="1:9" x14ac:dyDescent="0.3">
      <c r="A19" s="2"/>
      <c r="B19" s="2" t="s">
        <v>354</v>
      </c>
      <c r="C19" s="2">
        <v>1619842.266120001</v>
      </c>
      <c r="D19" s="2">
        <v>1769817.6146618705</v>
      </c>
      <c r="E19" s="5">
        <f t="shared" si="0"/>
        <v>149975.34854186955</v>
      </c>
    </row>
    <row r="20" spans="1:9" x14ac:dyDescent="0.3">
      <c r="A20" s="2"/>
      <c r="B20" s="2" t="s">
        <v>827</v>
      </c>
      <c r="C20" s="2">
        <v>1148525.2051900001</v>
      </c>
      <c r="D20" s="2">
        <v>1944985.1740016588</v>
      </c>
      <c r="E20" s="5">
        <f t="shared" si="0"/>
        <v>796459.96881165868</v>
      </c>
    </row>
    <row r="21" spans="1:9" x14ac:dyDescent="0.3">
      <c r="A21" s="2"/>
      <c r="B21" s="6" t="s">
        <v>1140</v>
      </c>
      <c r="C21" s="2">
        <v>5848551.2820699979</v>
      </c>
      <c r="D21" s="2">
        <v>5256321.5017357972</v>
      </c>
      <c r="E21" s="7">
        <f t="shared" si="0"/>
        <v>-592229.78033420071</v>
      </c>
      <c r="H21" s="10"/>
      <c r="I21" s="8"/>
    </row>
    <row r="22" spans="1:9" x14ac:dyDescent="0.3">
      <c r="A22" s="2"/>
      <c r="B22" s="2" t="s">
        <v>1681</v>
      </c>
      <c r="C22" s="2">
        <v>13402729.459899995</v>
      </c>
      <c r="D22" s="2">
        <v>13611697.498428978</v>
      </c>
      <c r="E22" s="5">
        <f t="shared" si="0"/>
        <v>208968.03852898255</v>
      </c>
    </row>
    <row r="23" spans="1:9" x14ac:dyDescent="0.3">
      <c r="A23" s="2"/>
      <c r="B23" s="6" t="s">
        <v>1620</v>
      </c>
      <c r="C23" s="2">
        <v>11464192</v>
      </c>
      <c r="D23" s="2">
        <v>10801155.64344457</v>
      </c>
      <c r="E23" s="7">
        <f t="shared" si="0"/>
        <v>-663036.35655543022</v>
      </c>
    </row>
    <row r="24" spans="1:9" x14ac:dyDescent="0.3">
      <c r="A24" s="2"/>
      <c r="B24" s="2" t="s">
        <v>1761</v>
      </c>
      <c r="C24" s="2">
        <v>177634.93495</v>
      </c>
      <c r="D24" s="2">
        <v>202629.79690086315</v>
      </c>
      <c r="E24" s="5">
        <f t="shared" si="0"/>
        <v>24994.861950863153</v>
      </c>
    </row>
    <row r="25" spans="1:9" x14ac:dyDescent="0.3">
      <c r="A25" s="2"/>
      <c r="B25" s="6" t="s">
        <v>1792</v>
      </c>
      <c r="C25" s="2">
        <v>1010754.89602</v>
      </c>
      <c r="D25" s="2">
        <v>349452</v>
      </c>
      <c r="E25" s="7">
        <f t="shared" si="0"/>
        <v>-661302.89601999999</v>
      </c>
    </row>
    <row r="26" spans="1:9" x14ac:dyDescent="0.3">
      <c r="A26" s="2"/>
      <c r="B26" s="9" t="s">
        <v>1846</v>
      </c>
      <c r="C26" s="2">
        <f>'SMS Q2 CONSUMPTION REPORT'!H918</f>
        <v>1633488.55146</v>
      </c>
      <c r="D26" s="2">
        <v>1754430</v>
      </c>
      <c r="E26" s="22">
        <f t="shared" si="0"/>
        <v>120941.44854000001</v>
      </c>
    </row>
    <row r="27" spans="1:9" x14ac:dyDescent="0.3">
      <c r="A27" s="2" t="s">
        <v>1841</v>
      </c>
      <c r="B27" s="2"/>
      <c r="C27" s="2">
        <f>SUM(C17:C26)</f>
        <v>38465273.035929993</v>
      </c>
      <c r="D27" s="5">
        <f>SUM(D17:D26)</f>
        <v>37212862.228423737</v>
      </c>
      <c r="E27" s="5">
        <f>SUM(E17:E25)</f>
        <v>-1373352.2560462574</v>
      </c>
    </row>
    <row r="29" spans="1:9" x14ac:dyDescent="0.3">
      <c r="C29" s="10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1EB2-AC31-4CA7-BB9A-1C757C08F9E6}">
  <sheetPr filterMode="1"/>
  <dimension ref="A1:H1051"/>
  <sheetViews>
    <sheetView topLeftCell="A895" workbookViewId="0">
      <selection activeCell="D4" sqref="D4"/>
    </sheetView>
  </sheetViews>
  <sheetFormatPr defaultRowHeight="14.4" x14ac:dyDescent="0.3"/>
  <cols>
    <col min="1" max="1" width="8.21875" customWidth="1"/>
    <col min="2" max="2" width="19.21875" customWidth="1"/>
    <col min="3" max="3" width="11.6640625" bestFit="1" customWidth="1"/>
    <col min="4" max="4" width="68.44140625" customWidth="1"/>
    <col min="5" max="5" width="6.21875" bestFit="1" customWidth="1"/>
    <col min="6" max="6" width="17.44140625" bestFit="1" customWidth="1"/>
    <col min="7" max="7" width="18.33203125" bestFit="1" customWidth="1"/>
    <col min="8" max="8" width="19.1093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  <c r="B5" t="s">
        <v>5</v>
      </c>
    </row>
    <row r="6" spans="1:8" x14ac:dyDescent="0.3">
      <c r="A6" t="s">
        <v>6</v>
      </c>
      <c r="B6" t="s">
        <v>7</v>
      </c>
      <c r="C6" t="s">
        <v>8</v>
      </c>
      <c r="D6" t="s">
        <v>9</v>
      </c>
      <c r="E6" t="s">
        <v>11</v>
      </c>
      <c r="F6" t="s">
        <v>12</v>
      </c>
      <c r="G6" t="s">
        <v>13</v>
      </c>
      <c r="H6" t="s">
        <v>14</v>
      </c>
    </row>
    <row r="7" spans="1:8" hidden="1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v>4</v>
      </c>
      <c r="G7">
        <v>1.248</v>
      </c>
      <c r="H7">
        <v>4.9924400000000002</v>
      </c>
    </row>
    <row r="8" spans="1:8" hidden="1" x14ac:dyDescent="0.3">
      <c r="A8" t="s">
        <v>15</v>
      </c>
      <c r="B8" t="s">
        <v>16</v>
      </c>
      <c r="C8" t="s">
        <v>20</v>
      </c>
      <c r="D8" t="s">
        <v>21</v>
      </c>
      <c r="E8" t="s">
        <v>19</v>
      </c>
      <c r="F8">
        <v>4</v>
      </c>
      <c r="G8">
        <v>4423.0709999999999</v>
      </c>
      <c r="H8">
        <v>17692.28296</v>
      </c>
    </row>
    <row r="9" spans="1:8" hidden="1" x14ac:dyDescent="0.3">
      <c r="A9" t="s">
        <v>15</v>
      </c>
      <c r="B9" t="s">
        <v>16</v>
      </c>
      <c r="C9" t="s">
        <v>22</v>
      </c>
      <c r="D9" t="s">
        <v>23</v>
      </c>
      <c r="E9" t="s">
        <v>19</v>
      </c>
      <c r="F9">
        <v>2</v>
      </c>
      <c r="G9">
        <v>977.34299999999996</v>
      </c>
      <c r="H9">
        <v>1954.6866600000001</v>
      </c>
    </row>
    <row r="10" spans="1:8" hidden="1" x14ac:dyDescent="0.3">
      <c r="A10" t="s">
        <v>15</v>
      </c>
      <c r="B10" t="s">
        <v>16</v>
      </c>
      <c r="C10" t="s">
        <v>24</v>
      </c>
      <c r="D10" t="s">
        <v>25</v>
      </c>
      <c r="E10" t="s">
        <v>19</v>
      </c>
      <c r="F10">
        <v>1</v>
      </c>
      <c r="G10">
        <v>380</v>
      </c>
      <c r="H10">
        <v>380</v>
      </c>
    </row>
    <row r="11" spans="1:8" hidden="1" x14ac:dyDescent="0.3">
      <c r="A11" t="s">
        <v>15</v>
      </c>
      <c r="B11" t="s">
        <v>16</v>
      </c>
      <c r="C11" t="s">
        <v>26</v>
      </c>
      <c r="D11" t="s">
        <v>27</v>
      </c>
      <c r="E11" t="s">
        <v>19</v>
      </c>
      <c r="F11">
        <v>1</v>
      </c>
      <c r="G11">
        <v>99.519000000000005</v>
      </c>
      <c r="H11">
        <v>99.518709999999999</v>
      </c>
    </row>
    <row r="12" spans="1:8" hidden="1" x14ac:dyDescent="0.3">
      <c r="A12" t="s">
        <v>15</v>
      </c>
      <c r="B12" t="s">
        <v>16</v>
      </c>
      <c r="C12" t="s">
        <v>28</v>
      </c>
      <c r="D12" t="s">
        <v>29</v>
      </c>
      <c r="E12" t="s">
        <v>19</v>
      </c>
      <c r="F12">
        <v>1</v>
      </c>
      <c r="G12">
        <v>11295.531000000001</v>
      </c>
      <c r="H12">
        <v>11295.531129999999</v>
      </c>
    </row>
    <row r="13" spans="1:8" hidden="1" x14ac:dyDescent="0.3">
      <c r="A13" t="s">
        <v>15</v>
      </c>
      <c r="B13" t="s">
        <v>16</v>
      </c>
      <c r="C13" t="s">
        <v>30</v>
      </c>
      <c r="D13" t="s">
        <v>31</v>
      </c>
      <c r="E13" t="s">
        <v>19</v>
      </c>
      <c r="F13">
        <v>1</v>
      </c>
      <c r="G13">
        <v>28431.620999999999</v>
      </c>
      <c r="H13">
        <v>28431.620940000001</v>
      </c>
    </row>
    <row r="14" spans="1:8" hidden="1" x14ac:dyDescent="0.3">
      <c r="A14" t="s">
        <v>15</v>
      </c>
      <c r="B14" t="s">
        <v>16</v>
      </c>
      <c r="C14" t="s">
        <v>32</v>
      </c>
      <c r="D14" t="s">
        <v>33</v>
      </c>
      <c r="E14" t="s">
        <v>19</v>
      </c>
      <c r="F14">
        <v>1</v>
      </c>
      <c r="G14">
        <v>1569.3330000000001</v>
      </c>
      <c r="H14">
        <v>1569.3333399999999</v>
      </c>
    </row>
    <row r="15" spans="1:8" hidden="1" x14ac:dyDescent="0.3">
      <c r="A15" t="s">
        <v>15</v>
      </c>
      <c r="B15" t="s">
        <v>16</v>
      </c>
      <c r="C15" t="s">
        <v>34</v>
      </c>
      <c r="D15" t="s">
        <v>35</v>
      </c>
      <c r="E15" t="s">
        <v>19</v>
      </c>
      <c r="F15">
        <v>1</v>
      </c>
      <c r="G15">
        <v>8893.85</v>
      </c>
      <c r="H15">
        <v>8893.85</v>
      </c>
    </row>
    <row r="16" spans="1:8" hidden="1" x14ac:dyDescent="0.3">
      <c r="A16" t="s">
        <v>15</v>
      </c>
      <c r="B16" t="s">
        <v>16</v>
      </c>
      <c r="C16" t="s">
        <v>36</v>
      </c>
      <c r="D16" t="s">
        <v>37</v>
      </c>
      <c r="E16" t="s">
        <v>19</v>
      </c>
      <c r="F16">
        <v>1</v>
      </c>
      <c r="G16">
        <v>3526.107</v>
      </c>
      <c r="H16">
        <v>3526.1068300000002</v>
      </c>
    </row>
    <row r="17" spans="1:8" hidden="1" x14ac:dyDescent="0.3">
      <c r="A17" t="s">
        <v>15</v>
      </c>
      <c r="B17" t="s">
        <v>16</v>
      </c>
      <c r="C17" t="s">
        <v>38</v>
      </c>
      <c r="D17" t="s">
        <v>39</v>
      </c>
      <c r="E17" t="s">
        <v>19</v>
      </c>
      <c r="F17">
        <v>2</v>
      </c>
      <c r="G17">
        <v>333.56700000000001</v>
      </c>
      <c r="H17">
        <v>667.13333999999998</v>
      </c>
    </row>
    <row r="18" spans="1:8" hidden="1" x14ac:dyDescent="0.3">
      <c r="A18" t="s">
        <v>15</v>
      </c>
      <c r="B18" t="s">
        <v>16</v>
      </c>
      <c r="C18" t="s">
        <v>40</v>
      </c>
      <c r="D18" t="s">
        <v>41</v>
      </c>
      <c r="E18" t="s">
        <v>19</v>
      </c>
      <c r="F18">
        <v>2</v>
      </c>
      <c r="G18">
        <v>712.72</v>
      </c>
      <c r="H18">
        <v>1425.44</v>
      </c>
    </row>
    <row r="19" spans="1:8" hidden="1" x14ac:dyDescent="0.3">
      <c r="A19" t="s">
        <v>15</v>
      </c>
      <c r="B19" t="s">
        <v>16</v>
      </c>
      <c r="C19" t="s">
        <v>42</v>
      </c>
      <c r="D19" t="s">
        <v>43</v>
      </c>
      <c r="E19" t="s">
        <v>19</v>
      </c>
      <c r="F19">
        <v>1</v>
      </c>
      <c r="G19">
        <v>540.88</v>
      </c>
      <c r="H19">
        <v>540.88014999999996</v>
      </c>
    </row>
    <row r="20" spans="1:8" hidden="1" x14ac:dyDescent="0.3">
      <c r="A20" t="s">
        <v>15</v>
      </c>
      <c r="B20" t="s">
        <v>16</v>
      </c>
      <c r="C20" t="s">
        <v>44</v>
      </c>
      <c r="D20" t="s">
        <v>45</v>
      </c>
      <c r="E20" t="s">
        <v>19</v>
      </c>
      <c r="F20">
        <v>1</v>
      </c>
      <c r="G20">
        <v>4340.55</v>
      </c>
      <c r="H20">
        <v>4340.55</v>
      </c>
    </row>
    <row r="21" spans="1:8" hidden="1" x14ac:dyDescent="0.3">
      <c r="A21" t="s">
        <v>15</v>
      </c>
      <c r="B21" t="s">
        <v>16</v>
      </c>
      <c r="C21" t="s">
        <v>46</v>
      </c>
      <c r="D21" t="s">
        <v>47</v>
      </c>
      <c r="E21" t="s">
        <v>19</v>
      </c>
      <c r="F21">
        <v>2</v>
      </c>
      <c r="G21">
        <v>3809.59</v>
      </c>
      <c r="H21">
        <v>7619.1798799999997</v>
      </c>
    </row>
    <row r="22" spans="1:8" hidden="1" x14ac:dyDescent="0.3">
      <c r="A22" t="s">
        <v>15</v>
      </c>
      <c r="B22" t="s">
        <v>16</v>
      </c>
      <c r="C22" t="s">
        <v>48</v>
      </c>
      <c r="D22" t="s">
        <v>49</v>
      </c>
      <c r="E22" t="s">
        <v>19</v>
      </c>
      <c r="F22">
        <v>1</v>
      </c>
      <c r="G22">
        <v>21695.004000000001</v>
      </c>
      <c r="H22">
        <v>21695.00404</v>
      </c>
    </row>
    <row r="23" spans="1:8" hidden="1" x14ac:dyDescent="0.3">
      <c r="A23" t="s">
        <v>15</v>
      </c>
      <c r="B23" t="s">
        <v>16</v>
      </c>
      <c r="C23" t="s">
        <v>50</v>
      </c>
      <c r="D23" t="s">
        <v>51</v>
      </c>
      <c r="E23" t="s">
        <v>19</v>
      </c>
      <c r="F23">
        <v>1</v>
      </c>
      <c r="G23">
        <v>832.255</v>
      </c>
      <c r="H23">
        <v>832.25546999999995</v>
      </c>
    </row>
    <row r="24" spans="1:8" hidden="1" x14ac:dyDescent="0.3">
      <c r="A24" t="s">
        <v>15</v>
      </c>
      <c r="B24" t="s">
        <v>16</v>
      </c>
      <c r="C24" t="s">
        <v>52</v>
      </c>
      <c r="D24" t="s">
        <v>53</v>
      </c>
      <c r="E24" t="s">
        <v>19</v>
      </c>
      <c r="F24">
        <v>2</v>
      </c>
      <c r="G24">
        <v>1889.46</v>
      </c>
      <c r="H24">
        <v>3778.92</v>
      </c>
    </row>
    <row r="25" spans="1:8" hidden="1" x14ac:dyDescent="0.3">
      <c r="A25" t="s">
        <v>15</v>
      </c>
      <c r="B25" t="s">
        <v>16</v>
      </c>
      <c r="C25" t="s">
        <v>54</v>
      </c>
      <c r="D25" t="s">
        <v>55</v>
      </c>
      <c r="E25" t="s">
        <v>19</v>
      </c>
      <c r="F25">
        <v>1</v>
      </c>
      <c r="G25">
        <v>7463.1019999999999</v>
      </c>
      <c r="H25">
        <v>7463.1021199999996</v>
      </c>
    </row>
    <row r="26" spans="1:8" hidden="1" x14ac:dyDescent="0.3">
      <c r="A26" t="s">
        <v>15</v>
      </c>
      <c r="B26" t="s">
        <v>16</v>
      </c>
      <c r="C26" t="s">
        <v>56</v>
      </c>
      <c r="D26" t="s">
        <v>57</v>
      </c>
      <c r="E26" t="s">
        <v>19</v>
      </c>
      <c r="F26">
        <v>1</v>
      </c>
      <c r="G26">
        <v>2012.165</v>
      </c>
      <c r="H26">
        <v>2012.16481</v>
      </c>
    </row>
    <row r="27" spans="1:8" hidden="1" x14ac:dyDescent="0.3">
      <c r="A27" t="s">
        <v>15</v>
      </c>
      <c r="B27" t="s">
        <v>16</v>
      </c>
      <c r="C27" t="s">
        <v>58</v>
      </c>
      <c r="D27" t="s">
        <v>59</v>
      </c>
      <c r="E27" t="s">
        <v>19</v>
      </c>
      <c r="F27">
        <v>2</v>
      </c>
      <c r="G27">
        <v>836.69299999999998</v>
      </c>
      <c r="H27">
        <v>1673.3869400000001</v>
      </c>
    </row>
    <row r="28" spans="1:8" hidden="1" x14ac:dyDescent="0.3">
      <c r="A28" t="s">
        <v>15</v>
      </c>
      <c r="B28" t="s">
        <v>16</v>
      </c>
      <c r="C28" t="s">
        <v>60</v>
      </c>
      <c r="D28" t="s">
        <v>61</v>
      </c>
      <c r="E28" t="s">
        <v>19</v>
      </c>
      <c r="F28">
        <v>1</v>
      </c>
      <c r="G28">
        <v>754</v>
      </c>
      <c r="H28">
        <v>754</v>
      </c>
    </row>
    <row r="29" spans="1:8" hidden="1" x14ac:dyDescent="0.3">
      <c r="A29" t="s">
        <v>15</v>
      </c>
      <c r="B29" t="s">
        <v>16</v>
      </c>
      <c r="C29" t="s">
        <v>62</v>
      </c>
      <c r="D29" t="s">
        <v>63</v>
      </c>
      <c r="E29" t="s">
        <v>19</v>
      </c>
      <c r="F29">
        <v>1</v>
      </c>
      <c r="G29">
        <v>17900</v>
      </c>
      <c r="H29">
        <v>17900</v>
      </c>
    </row>
    <row r="30" spans="1:8" hidden="1" x14ac:dyDescent="0.3">
      <c r="A30" t="s">
        <v>15</v>
      </c>
      <c r="B30" t="s">
        <v>16</v>
      </c>
      <c r="C30" t="s">
        <v>64</v>
      </c>
      <c r="D30" t="s">
        <v>65</v>
      </c>
      <c r="E30" t="s">
        <v>19</v>
      </c>
      <c r="F30">
        <v>5</v>
      </c>
      <c r="G30">
        <v>10190.2696666666</v>
      </c>
      <c r="H30">
        <v>51081.078630000004</v>
      </c>
    </row>
    <row r="31" spans="1:8" hidden="1" x14ac:dyDescent="0.3">
      <c r="A31" t="s">
        <v>15</v>
      </c>
      <c r="B31" t="s">
        <v>16</v>
      </c>
      <c r="C31" t="s">
        <v>66</v>
      </c>
      <c r="D31" t="s">
        <v>67</v>
      </c>
      <c r="E31" t="s">
        <v>19</v>
      </c>
      <c r="F31">
        <v>15</v>
      </c>
      <c r="G31">
        <v>1818.194</v>
      </c>
      <c r="H31">
        <v>27272.911049999999</v>
      </c>
    </row>
    <row r="32" spans="1:8" hidden="1" x14ac:dyDescent="0.3">
      <c r="A32" t="s">
        <v>15</v>
      </c>
      <c r="B32" t="s">
        <v>16</v>
      </c>
      <c r="C32" t="s">
        <v>68</v>
      </c>
      <c r="D32" t="s">
        <v>69</v>
      </c>
      <c r="E32" t="s">
        <v>19</v>
      </c>
      <c r="F32">
        <v>15</v>
      </c>
      <c r="G32">
        <v>1414.1510000000001</v>
      </c>
      <c r="H32">
        <v>21212.264149999999</v>
      </c>
    </row>
    <row r="33" spans="1:8" hidden="1" x14ac:dyDescent="0.3">
      <c r="A33" t="s">
        <v>15</v>
      </c>
      <c r="B33" t="s">
        <v>16</v>
      </c>
      <c r="C33" t="s">
        <v>70</v>
      </c>
      <c r="D33" t="s">
        <v>71</v>
      </c>
      <c r="E33" t="s">
        <v>19</v>
      </c>
      <c r="F33">
        <v>15</v>
      </c>
      <c r="G33">
        <v>1212.1289999999999</v>
      </c>
      <c r="H33">
        <v>18181.940699999999</v>
      </c>
    </row>
    <row r="34" spans="1:8" hidden="1" x14ac:dyDescent="0.3">
      <c r="A34" t="s">
        <v>15</v>
      </c>
      <c r="B34" t="s">
        <v>16</v>
      </c>
      <c r="C34" t="s">
        <v>72</v>
      </c>
      <c r="D34" t="s">
        <v>73</v>
      </c>
      <c r="E34" t="s">
        <v>19</v>
      </c>
      <c r="F34">
        <v>40</v>
      </c>
      <c r="G34">
        <v>207.202</v>
      </c>
      <c r="H34">
        <v>8282.8840999999993</v>
      </c>
    </row>
    <row r="35" spans="1:8" hidden="1" x14ac:dyDescent="0.3">
      <c r="A35" t="s">
        <v>15</v>
      </c>
      <c r="B35" t="s">
        <v>16</v>
      </c>
      <c r="C35" t="s">
        <v>74</v>
      </c>
      <c r="D35" t="s">
        <v>75</v>
      </c>
      <c r="E35" t="s">
        <v>19</v>
      </c>
      <c r="F35">
        <v>1</v>
      </c>
      <c r="G35">
        <v>2286.6469999999999</v>
      </c>
      <c r="H35">
        <v>2286.6469299999999</v>
      </c>
    </row>
    <row r="36" spans="1:8" hidden="1" x14ac:dyDescent="0.3">
      <c r="A36" t="s">
        <v>15</v>
      </c>
      <c r="B36" t="s">
        <v>16</v>
      </c>
      <c r="C36" t="s">
        <v>76</v>
      </c>
      <c r="D36" t="s">
        <v>77</v>
      </c>
      <c r="E36" t="s">
        <v>19</v>
      </c>
      <c r="F36">
        <v>1</v>
      </c>
      <c r="G36">
        <v>568.39800000000002</v>
      </c>
      <c r="H36">
        <v>568.39796000000001</v>
      </c>
    </row>
    <row r="37" spans="1:8" hidden="1" x14ac:dyDescent="0.3">
      <c r="A37" t="s">
        <v>15</v>
      </c>
      <c r="B37" t="s">
        <v>16</v>
      </c>
      <c r="C37" t="s">
        <v>78</v>
      </c>
      <c r="D37" t="s">
        <v>79</v>
      </c>
      <c r="E37" t="s">
        <v>19</v>
      </c>
      <c r="F37">
        <v>1</v>
      </c>
      <c r="G37">
        <v>5658.12</v>
      </c>
      <c r="H37">
        <v>5658.12</v>
      </c>
    </row>
    <row r="38" spans="1:8" hidden="1" x14ac:dyDescent="0.3">
      <c r="A38" t="s">
        <v>15</v>
      </c>
      <c r="B38" t="s">
        <v>16</v>
      </c>
      <c r="C38" t="s">
        <v>80</v>
      </c>
      <c r="D38" t="s">
        <v>81</v>
      </c>
      <c r="E38" t="s">
        <v>19</v>
      </c>
      <c r="F38">
        <v>2</v>
      </c>
      <c r="G38">
        <v>3775.6995000000002</v>
      </c>
      <c r="H38">
        <v>7551.3994700000003</v>
      </c>
    </row>
    <row r="39" spans="1:8" hidden="1" x14ac:dyDescent="0.3">
      <c r="A39" t="s">
        <v>15</v>
      </c>
      <c r="B39" t="s">
        <v>16</v>
      </c>
      <c r="C39" t="s">
        <v>82</v>
      </c>
      <c r="D39" t="s">
        <v>83</v>
      </c>
      <c r="E39" t="s">
        <v>19</v>
      </c>
      <c r="F39">
        <v>1</v>
      </c>
      <c r="G39">
        <v>2223.9</v>
      </c>
      <c r="H39">
        <v>2223.8998099999999</v>
      </c>
    </row>
    <row r="40" spans="1:8" hidden="1" x14ac:dyDescent="0.3">
      <c r="A40" t="s">
        <v>15</v>
      </c>
      <c r="B40" t="s">
        <v>16</v>
      </c>
      <c r="C40" t="s">
        <v>84</v>
      </c>
      <c r="D40" t="s">
        <v>85</v>
      </c>
      <c r="E40" t="s">
        <v>19</v>
      </c>
      <c r="F40">
        <v>1</v>
      </c>
      <c r="G40">
        <v>785.50599999999997</v>
      </c>
      <c r="H40">
        <v>785.50558000000001</v>
      </c>
    </row>
    <row r="41" spans="1:8" hidden="1" x14ac:dyDescent="0.3">
      <c r="A41" t="s">
        <v>15</v>
      </c>
      <c r="B41" t="s">
        <v>16</v>
      </c>
      <c r="C41" t="s">
        <v>86</v>
      </c>
      <c r="D41" t="s">
        <v>87</v>
      </c>
      <c r="E41" t="s">
        <v>19</v>
      </c>
      <c r="F41">
        <v>13</v>
      </c>
      <c r="G41">
        <v>7.4050000000000002</v>
      </c>
      <c r="H41">
        <v>96.271109999999993</v>
      </c>
    </row>
    <row r="42" spans="1:8" hidden="1" x14ac:dyDescent="0.3">
      <c r="A42" t="s">
        <v>15</v>
      </c>
      <c r="B42" t="s">
        <v>16</v>
      </c>
      <c r="C42" t="s">
        <v>88</v>
      </c>
      <c r="D42" t="s">
        <v>89</v>
      </c>
      <c r="E42" t="s">
        <v>19</v>
      </c>
      <c r="F42">
        <v>10</v>
      </c>
      <c r="G42">
        <v>13.885</v>
      </c>
      <c r="H42">
        <v>138.8526</v>
      </c>
    </row>
    <row r="43" spans="1:8" hidden="1" x14ac:dyDescent="0.3">
      <c r="A43" t="s">
        <v>15</v>
      </c>
      <c r="B43" t="s">
        <v>16</v>
      </c>
      <c r="C43" t="s">
        <v>90</v>
      </c>
      <c r="D43" t="s">
        <v>91</v>
      </c>
      <c r="E43" t="s">
        <v>19</v>
      </c>
      <c r="F43">
        <v>10</v>
      </c>
      <c r="G43">
        <v>13.885</v>
      </c>
      <c r="H43">
        <v>138.8526</v>
      </c>
    </row>
    <row r="44" spans="1:8" hidden="1" x14ac:dyDescent="0.3">
      <c r="A44" t="s">
        <v>15</v>
      </c>
      <c r="B44" t="s">
        <v>16</v>
      </c>
      <c r="C44" t="s">
        <v>92</v>
      </c>
      <c r="D44" t="s">
        <v>93</v>
      </c>
      <c r="E44" t="s">
        <v>19</v>
      </c>
      <c r="F44">
        <v>10</v>
      </c>
      <c r="G44">
        <v>136.07599999999999</v>
      </c>
      <c r="H44">
        <v>1360.7554</v>
      </c>
    </row>
    <row r="45" spans="1:8" hidden="1" x14ac:dyDescent="0.3">
      <c r="A45" t="s">
        <v>15</v>
      </c>
      <c r="B45" t="s">
        <v>16</v>
      </c>
      <c r="C45" t="s">
        <v>94</v>
      </c>
      <c r="D45" t="s">
        <v>95</v>
      </c>
      <c r="E45" t="s">
        <v>19</v>
      </c>
      <c r="F45">
        <v>6</v>
      </c>
      <c r="G45">
        <v>2657.3530000000001</v>
      </c>
      <c r="H45">
        <v>15944.119360000001</v>
      </c>
    </row>
    <row r="46" spans="1:8" hidden="1" x14ac:dyDescent="0.3">
      <c r="A46" t="s">
        <v>15</v>
      </c>
      <c r="B46" t="s">
        <v>16</v>
      </c>
      <c r="C46" t="s">
        <v>96</v>
      </c>
      <c r="D46" t="s">
        <v>97</v>
      </c>
      <c r="E46" t="s">
        <v>19</v>
      </c>
      <c r="F46">
        <v>1</v>
      </c>
      <c r="G46">
        <v>2828.7950000000001</v>
      </c>
      <c r="H46">
        <v>2828.7953699999998</v>
      </c>
    </row>
    <row r="47" spans="1:8" hidden="1" x14ac:dyDescent="0.3">
      <c r="A47" t="s">
        <v>15</v>
      </c>
      <c r="B47" t="s">
        <v>16</v>
      </c>
      <c r="C47" t="s">
        <v>98</v>
      </c>
      <c r="D47" t="s">
        <v>99</v>
      </c>
      <c r="E47" t="s">
        <v>19</v>
      </c>
      <c r="F47">
        <v>2</v>
      </c>
      <c r="G47">
        <v>1574.817</v>
      </c>
      <c r="H47">
        <v>3149.6330699999999</v>
      </c>
    </row>
    <row r="48" spans="1:8" hidden="1" x14ac:dyDescent="0.3">
      <c r="A48" t="s">
        <v>15</v>
      </c>
      <c r="B48" t="s">
        <v>16</v>
      </c>
      <c r="C48" t="s">
        <v>100</v>
      </c>
      <c r="D48" t="s">
        <v>101</v>
      </c>
      <c r="E48" t="s">
        <v>19</v>
      </c>
      <c r="F48">
        <v>1</v>
      </c>
      <c r="G48">
        <v>2070.328</v>
      </c>
      <c r="H48">
        <v>2070.3276900000001</v>
      </c>
    </row>
    <row r="49" spans="1:8" hidden="1" x14ac:dyDescent="0.3">
      <c r="A49" t="s">
        <v>15</v>
      </c>
      <c r="B49" t="s">
        <v>16</v>
      </c>
      <c r="C49" t="s">
        <v>102</v>
      </c>
      <c r="D49" t="s">
        <v>103</v>
      </c>
      <c r="E49" t="s">
        <v>19</v>
      </c>
      <c r="F49">
        <v>1</v>
      </c>
      <c r="G49">
        <v>812.92100000000005</v>
      </c>
      <c r="H49">
        <v>812.92147999999997</v>
      </c>
    </row>
    <row r="50" spans="1:8" hidden="1" x14ac:dyDescent="0.3">
      <c r="A50" t="s">
        <v>15</v>
      </c>
      <c r="B50" t="s">
        <v>16</v>
      </c>
      <c r="C50" t="s">
        <v>104</v>
      </c>
      <c r="D50" t="s">
        <v>105</v>
      </c>
      <c r="E50" t="s">
        <v>19</v>
      </c>
      <c r="F50">
        <v>2</v>
      </c>
      <c r="G50">
        <v>54243.241999999998</v>
      </c>
      <c r="H50">
        <v>108486.48376</v>
      </c>
    </row>
    <row r="51" spans="1:8" hidden="1" x14ac:dyDescent="0.3">
      <c r="A51" t="s">
        <v>15</v>
      </c>
      <c r="B51" t="s">
        <v>16</v>
      </c>
      <c r="C51" t="s">
        <v>106</v>
      </c>
      <c r="D51" t="s">
        <v>107</v>
      </c>
      <c r="E51" t="s">
        <v>19</v>
      </c>
      <c r="F51">
        <v>9</v>
      </c>
      <c r="G51">
        <v>1015</v>
      </c>
      <c r="H51">
        <v>9135</v>
      </c>
    </row>
    <row r="52" spans="1:8" hidden="1" x14ac:dyDescent="0.3">
      <c r="A52" t="s">
        <v>15</v>
      </c>
      <c r="B52" t="s">
        <v>16</v>
      </c>
      <c r="C52" t="s">
        <v>108</v>
      </c>
      <c r="D52" t="s">
        <v>109</v>
      </c>
      <c r="E52" t="s">
        <v>19</v>
      </c>
      <c r="F52">
        <v>1</v>
      </c>
      <c r="G52">
        <v>1608.6179999999999</v>
      </c>
      <c r="H52">
        <v>1608.61787</v>
      </c>
    </row>
    <row r="53" spans="1:8" hidden="1" x14ac:dyDescent="0.3">
      <c r="A53" t="s">
        <v>15</v>
      </c>
      <c r="B53" t="s">
        <v>16</v>
      </c>
      <c r="C53" t="s">
        <v>110</v>
      </c>
      <c r="D53" t="s">
        <v>111</v>
      </c>
      <c r="E53" t="s">
        <v>19</v>
      </c>
      <c r="F53">
        <v>2</v>
      </c>
      <c r="G53">
        <v>6230.5619999999999</v>
      </c>
      <c r="H53">
        <v>12461.12441</v>
      </c>
    </row>
    <row r="54" spans="1:8" hidden="1" x14ac:dyDescent="0.3">
      <c r="A54" t="s">
        <v>15</v>
      </c>
      <c r="B54" t="s">
        <v>16</v>
      </c>
      <c r="C54" t="s">
        <v>112</v>
      </c>
      <c r="D54" t="s">
        <v>113</v>
      </c>
      <c r="E54" t="s">
        <v>19</v>
      </c>
      <c r="F54">
        <v>1</v>
      </c>
      <c r="G54">
        <v>11457.52</v>
      </c>
      <c r="H54">
        <v>11457.5203</v>
      </c>
    </row>
    <row r="55" spans="1:8" hidden="1" x14ac:dyDescent="0.3">
      <c r="A55" t="s">
        <v>15</v>
      </c>
      <c r="B55" t="s">
        <v>16</v>
      </c>
      <c r="C55" t="s">
        <v>114</v>
      </c>
      <c r="D55" t="s">
        <v>115</v>
      </c>
      <c r="E55" t="s">
        <v>19</v>
      </c>
      <c r="F55">
        <v>5</v>
      </c>
      <c r="G55">
        <v>242.072</v>
      </c>
      <c r="H55">
        <v>1210.3617999999999</v>
      </c>
    </row>
    <row r="56" spans="1:8" hidden="1" x14ac:dyDescent="0.3">
      <c r="A56" t="s">
        <v>15</v>
      </c>
      <c r="B56" t="s">
        <v>16</v>
      </c>
      <c r="C56" t="s">
        <v>116</v>
      </c>
      <c r="D56" t="s">
        <v>117</v>
      </c>
      <c r="E56" t="s">
        <v>19</v>
      </c>
      <c r="F56">
        <v>1</v>
      </c>
      <c r="G56">
        <v>1619.9110000000001</v>
      </c>
      <c r="H56">
        <v>1619.9108000000001</v>
      </c>
    </row>
    <row r="57" spans="1:8" hidden="1" x14ac:dyDescent="0.3">
      <c r="A57" t="s">
        <v>15</v>
      </c>
      <c r="B57" t="s">
        <v>16</v>
      </c>
      <c r="C57" t="s">
        <v>118</v>
      </c>
      <c r="D57" t="s">
        <v>119</v>
      </c>
      <c r="E57" t="s">
        <v>19</v>
      </c>
      <c r="F57">
        <v>1</v>
      </c>
      <c r="G57">
        <v>1256.8499999999999</v>
      </c>
      <c r="H57">
        <v>1256.8499999999999</v>
      </c>
    </row>
    <row r="58" spans="1:8" hidden="1" x14ac:dyDescent="0.3">
      <c r="A58" t="s">
        <v>15</v>
      </c>
      <c r="B58" t="s">
        <v>16</v>
      </c>
      <c r="C58" t="s">
        <v>120</v>
      </c>
      <c r="D58" t="s">
        <v>121</v>
      </c>
      <c r="E58" t="s">
        <v>19</v>
      </c>
      <c r="F58">
        <v>1</v>
      </c>
      <c r="G58">
        <v>1957.492</v>
      </c>
      <c r="H58">
        <v>1957.49172</v>
      </c>
    </row>
    <row r="59" spans="1:8" hidden="1" x14ac:dyDescent="0.3">
      <c r="A59" t="s">
        <v>15</v>
      </c>
      <c r="B59" t="s">
        <v>16</v>
      </c>
      <c r="C59" t="s">
        <v>122</v>
      </c>
      <c r="D59" t="s">
        <v>123</v>
      </c>
      <c r="E59" t="s">
        <v>19</v>
      </c>
      <c r="F59">
        <v>1</v>
      </c>
      <c r="G59">
        <v>1502.298</v>
      </c>
      <c r="H59">
        <v>1502.2979</v>
      </c>
    </row>
    <row r="60" spans="1:8" hidden="1" x14ac:dyDescent="0.3">
      <c r="A60" t="s">
        <v>15</v>
      </c>
      <c r="B60" t="s">
        <v>16</v>
      </c>
      <c r="C60" t="s">
        <v>124</v>
      </c>
      <c r="D60" t="s">
        <v>125</v>
      </c>
      <c r="E60" t="s">
        <v>19</v>
      </c>
      <c r="F60">
        <v>2</v>
      </c>
      <c r="G60">
        <v>399.05200000000002</v>
      </c>
      <c r="H60">
        <v>798.10499000000004</v>
      </c>
    </row>
    <row r="61" spans="1:8" hidden="1" x14ac:dyDescent="0.3">
      <c r="A61" t="s">
        <v>15</v>
      </c>
      <c r="B61" t="s">
        <v>16</v>
      </c>
      <c r="C61" t="s">
        <v>126</v>
      </c>
      <c r="D61" t="s">
        <v>127</v>
      </c>
      <c r="E61" t="s">
        <v>19</v>
      </c>
      <c r="F61">
        <v>1</v>
      </c>
      <c r="G61">
        <v>5287.2929999999997</v>
      </c>
      <c r="H61">
        <v>5287.2928199999997</v>
      </c>
    </row>
    <row r="62" spans="1:8" hidden="1" x14ac:dyDescent="0.3">
      <c r="A62" t="s">
        <v>15</v>
      </c>
      <c r="B62" t="s">
        <v>16</v>
      </c>
      <c r="C62" t="s">
        <v>128</v>
      </c>
      <c r="D62" t="s">
        <v>129</v>
      </c>
      <c r="E62" t="s">
        <v>19</v>
      </c>
      <c r="F62">
        <v>2</v>
      </c>
      <c r="G62">
        <v>4282.0344999999998</v>
      </c>
      <c r="H62">
        <v>8564.0694800000001</v>
      </c>
    </row>
    <row r="63" spans="1:8" hidden="1" x14ac:dyDescent="0.3">
      <c r="A63" t="s">
        <v>15</v>
      </c>
      <c r="B63" t="s">
        <v>16</v>
      </c>
      <c r="C63" t="s">
        <v>130</v>
      </c>
      <c r="D63" t="s">
        <v>131</v>
      </c>
      <c r="E63" t="s">
        <v>19</v>
      </c>
      <c r="F63">
        <v>1</v>
      </c>
      <c r="G63">
        <v>5551.7920000000004</v>
      </c>
      <c r="H63">
        <v>5551.7919700000002</v>
      </c>
    </row>
    <row r="64" spans="1:8" hidden="1" x14ac:dyDescent="0.3">
      <c r="A64" t="s">
        <v>15</v>
      </c>
      <c r="B64" t="s">
        <v>16</v>
      </c>
      <c r="C64" t="s">
        <v>132</v>
      </c>
      <c r="D64" t="s">
        <v>133</v>
      </c>
      <c r="E64" t="s">
        <v>19</v>
      </c>
      <c r="F64">
        <v>2</v>
      </c>
      <c r="G64">
        <v>1677.1980000000001</v>
      </c>
      <c r="H64">
        <v>3354.3955999999998</v>
      </c>
    </row>
    <row r="65" spans="1:8" hidden="1" x14ac:dyDescent="0.3">
      <c r="A65" t="s">
        <v>15</v>
      </c>
      <c r="B65" t="s">
        <v>16</v>
      </c>
      <c r="C65" t="s">
        <v>134</v>
      </c>
      <c r="D65" t="s">
        <v>135</v>
      </c>
      <c r="E65" t="s">
        <v>19</v>
      </c>
      <c r="F65">
        <v>2</v>
      </c>
      <c r="G65">
        <v>660.71400000000006</v>
      </c>
      <c r="H65">
        <v>1321.42857</v>
      </c>
    </row>
    <row r="66" spans="1:8" hidden="1" x14ac:dyDescent="0.3">
      <c r="A66" t="s">
        <v>15</v>
      </c>
      <c r="B66" t="s">
        <v>16</v>
      </c>
      <c r="C66" t="s">
        <v>136</v>
      </c>
      <c r="D66" t="s">
        <v>137</v>
      </c>
      <c r="E66" t="s">
        <v>19</v>
      </c>
      <c r="F66">
        <v>2</v>
      </c>
      <c r="G66">
        <v>609.89</v>
      </c>
      <c r="H66">
        <v>1219.7802200000001</v>
      </c>
    </row>
    <row r="67" spans="1:8" hidden="1" x14ac:dyDescent="0.3">
      <c r="A67" t="s">
        <v>15</v>
      </c>
      <c r="B67" t="s">
        <v>16</v>
      </c>
      <c r="C67" t="s">
        <v>138</v>
      </c>
      <c r="D67" t="s">
        <v>139</v>
      </c>
      <c r="E67" t="s">
        <v>19</v>
      </c>
      <c r="F67">
        <v>1</v>
      </c>
      <c r="G67">
        <v>361</v>
      </c>
      <c r="H67">
        <v>361</v>
      </c>
    </row>
    <row r="68" spans="1:8" hidden="1" x14ac:dyDescent="0.3">
      <c r="A68" t="s">
        <v>15</v>
      </c>
      <c r="B68" t="s">
        <v>16</v>
      </c>
      <c r="C68" t="s">
        <v>140</v>
      </c>
      <c r="D68" t="s">
        <v>141</v>
      </c>
      <c r="E68" t="s">
        <v>19</v>
      </c>
      <c r="F68">
        <v>1</v>
      </c>
      <c r="G68">
        <v>10190.221</v>
      </c>
      <c r="H68">
        <v>10190.220590000001</v>
      </c>
    </row>
    <row r="69" spans="1:8" hidden="1" x14ac:dyDescent="0.3">
      <c r="A69" t="s">
        <v>15</v>
      </c>
      <c r="B69" t="s">
        <v>16</v>
      </c>
      <c r="C69" t="s">
        <v>142</v>
      </c>
      <c r="D69" t="s">
        <v>143</v>
      </c>
      <c r="E69" t="s">
        <v>19</v>
      </c>
      <c r="F69">
        <v>3</v>
      </c>
      <c r="G69">
        <v>989.04100000000005</v>
      </c>
      <c r="H69">
        <v>2967.1222600000001</v>
      </c>
    </row>
    <row r="70" spans="1:8" hidden="1" x14ac:dyDescent="0.3">
      <c r="A70" t="s">
        <v>15</v>
      </c>
      <c r="B70" t="s">
        <v>16</v>
      </c>
      <c r="C70" t="s">
        <v>144</v>
      </c>
      <c r="D70" t="s">
        <v>145</v>
      </c>
      <c r="E70" t="s">
        <v>19</v>
      </c>
      <c r="F70">
        <v>1</v>
      </c>
      <c r="G70">
        <v>6515.7430000000004</v>
      </c>
      <c r="H70">
        <v>6515.7434800000001</v>
      </c>
    </row>
    <row r="71" spans="1:8" hidden="1" x14ac:dyDescent="0.3">
      <c r="A71" t="s">
        <v>15</v>
      </c>
      <c r="B71" t="s">
        <v>16</v>
      </c>
      <c r="C71" t="s">
        <v>146</v>
      </c>
      <c r="D71" t="s">
        <v>147</v>
      </c>
      <c r="E71" t="s">
        <v>19</v>
      </c>
      <c r="F71">
        <v>3</v>
      </c>
      <c r="G71">
        <v>6040.6260000000002</v>
      </c>
      <c r="H71">
        <v>18121.879410000001</v>
      </c>
    </row>
    <row r="72" spans="1:8" hidden="1" x14ac:dyDescent="0.3">
      <c r="A72" t="s">
        <v>15</v>
      </c>
      <c r="B72" t="s">
        <v>16</v>
      </c>
      <c r="C72" t="s">
        <v>148</v>
      </c>
      <c r="D72" t="s">
        <v>149</v>
      </c>
      <c r="E72" t="s">
        <v>19</v>
      </c>
      <c r="F72">
        <v>1</v>
      </c>
      <c r="G72">
        <v>27183.812999999998</v>
      </c>
      <c r="H72">
        <v>27183.81293</v>
      </c>
    </row>
    <row r="73" spans="1:8" hidden="1" x14ac:dyDescent="0.3">
      <c r="A73" t="s">
        <v>15</v>
      </c>
      <c r="B73" t="s">
        <v>16</v>
      </c>
      <c r="C73" t="s">
        <v>150</v>
      </c>
      <c r="D73" t="s">
        <v>151</v>
      </c>
      <c r="E73" t="s">
        <v>19</v>
      </c>
      <c r="F73">
        <v>1</v>
      </c>
      <c r="G73">
        <v>7772.3770000000004</v>
      </c>
      <c r="H73">
        <v>7772.3767600000001</v>
      </c>
    </row>
    <row r="74" spans="1:8" hidden="1" x14ac:dyDescent="0.3">
      <c r="A74" t="s">
        <v>15</v>
      </c>
      <c r="B74" t="s">
        <v>16</v>
      </c>
      <c r="C74" t="s">
        <v>155</v>
      </c>
      <c r="D74" t="s">
        <v>156</v>
      </c>
      <c r="E74" t="s">
        <v>19</v>
      </c>
      <c r="F74">
        <v>5</v>
      </c>
      <c r="G74">
        <v>1096</v>
      </c>
      <c r="H74">
        <v>5480</v>
      </c>
    </row>
    <row r="75" spans="1:8" hidden="1" x14ac:dyDescent="0.3">
      <c r="A75" t="s">
        <v>15</v>
      </c>
      <c r="B75" t="s">
        <v>16</v>
      </c>
      <c r="C75" t="s">
        <v>157</v>
      </c>
      <c r="D75" t="s">
        <v>158</v>
      </c>
      <c r="E75" t="s">
        <v>19</v>
      </c>
      <c r="F75">
        <v>1</v>
      </c>
      <c r="G75">
        <v>6394.7479999999996</v>
      </c>
      <c r="H75">
        <v>6394.74838</v>
      </c>
    </row>
    <row r="76" spans="1:8" hidden="1" x14ac:dyDescent="0.3">
      <c r="A76" t="s">
        <v>15</v>
      </c>
      <c r="B76" t="s">
        <v>16</v>
      </c>
      <c r="C76" t="s">
        <v>159</v>
      </c>
      <c r="D76" t="s">
        <v>160</v>
      </c>
      <c r="E76" t="s">
        <v>19</v>
      </c>
      <c r="F76">
        <v>8</v>
      </c>
      <c r="G76">
        <v>617.31299999999999</v>
      </c>
      <c r="H76">
        <v>4938.5057999999999</v>
      </c>
    </row>
    <row r="77" spans="1:8" hidden="1" x14ac:dyDescent="0.3">
      <c r="A77" t="s">
        <v>15</v>
      </c>
      <c r="B77" t="s">
        <v>16</v>
      </c>
      <c r="C77" t="s">
        <v>161</v>
      </c>
      <c r="D77" t="s">
        <v>162</v>
      </c>
      <c r="E77" t="s">
        <v>19</v>
      </c>
      <c r="F77">
        <v>12</v>
      </c>
      <c r="G77">
        <v>602.04700000000003</v>
      </c>
      <c r="H77">
        <v>7224.5683799999997</v>
      </c>
    </row>
    <row r="78" spans="1:8" hidden="1" x14ac:dyDescent="0.3">
      <c r="A78" t="s">
        <v>15</v>
      </c>
      <c r="B78" t="s">
        <v>16</v>
      </c>
      <c r="C78" t="s">
        <v>163</v>
      </c>
      <c r="D78" t="s">
        <v>164</v>
      </c>
      <c r="E78" t="s">
        <v>19</v>
      </c>
      <c r="F78">
        <v>12</v>
      </c>
      <c r="G78">
        <v>620.03399999999999</v>
      </c>
      <c r="H78">
        <v>7484.5096800000001</v>
      </c>
    </row>
    <row r="79" spans="1:8" hidden="1" x14ac:dyDescent="0.3">
      <c r="A79" t="s">
        <v>15</v>
      </c>
      <c r="B79" t="s">
        <v>16</v>
      </c>
      <c r="C79" t="s">
        <v>165</v>
      </c>
      <c r="D79" t="s">
        <v>166</v>
      </c>
      <c r="E79" t="s">
        <v>19</v>
      </c>
      <c r="F79">
        <v>4</v>
      </c>
      <c r="G79">
        <v>604.1</v>
      </c>
      <c r="H79">
        <v>2416.4</v>
      </c>
    </row>
    <row r="80" spans="1:8" hidden="1" x14ac:dyDescent="0.3">
      <c r="A80" t="s">
        <v>15</v>
      </c>
      <c r="B80" t="s">
        <v>16</v>
      </c>
      <c r="C80" t="s">
        <v>167</v>
      </c>
      <c r="D80" t="s">
        <v>168</v>
      </c>
      <c r="E80" t="s">
        <v>19</v>
      </c>
      <c r="F80">
        <v>18</v>
      </c>
      <c r="G80">
        <v>627.80899999999997</v>
      </c>
      <c r="H80">
        <v>11300.55308</v>
      </c>
    </row>
    <row r="81" spans="1:8" hidden="1" x14ac:dyDescent="0.3">
      <c r="A81" t="s">
        <v>15</v>
      </c>
      <c r="B81" t="s">
        <v>16</v>
      </c>
      <c r="C81" t="s">
        <v>169</v>
      </c>
      <c r="D81" t="s">
        <v>170</v>
      </c>
      <c r="E81" t="s">
        <v>19</v>
      </c>
      <c r="F81">
        <v>1</v>
      </c>
      <c r="G81">
        <v>28668.225999999999</v>
      </c>
      <c r="H81">
        <v>28668.225770000001</v>
      </c>
    </row>
    <row r="82" spans="1:8" hidden="1" x14ac:dyDescent="0.3">
      <c r="A82" t="s">
        <v>15</v>
      </c>
      <c r="B82" t="s">
        <v>16</v>
      </c>
      <c r="C82" t="s">
        <v>171</v>
      </c>
      <c r="D82" t="s">
        <v>172</v>
      </c>
      <c r="E82" t="s">
        <v>19</v>
      </c>
      <c r="F82">
        <v>1</v>
      </c>
      <c r="G82">
        <v>28374.969000000001</v>
      </c>
      <c r="H82">
        <v>28374.968570000001</v>
      </c>
    </row>
    <row r="83" spans="1:8" hidden="1" x14ac:dyDescent="0.3">
      <c r="A83" t="s">
        <v>15</v>
      </c>
      <c r="B83" t="s">
        <v>16</v>
      </c>
      <c r="C83" t="s">
        <v>173</v>
      </c>
      <c r="D83" t="s">
        <v>174</v>
      </c>
      <c r="E83" t="s">
        <v>19</v>
      </c>
      <c r="F83">
        <v>1</v>
      </c>
      <c r="G83">
        <v>21101.442999999999</v>
      </c>
      <c r="H83">
        <v>21101.44296</v>
      </c>
    </row>
    <row r="84" spans="1:8" hidden="1" x14ac:dyDescent="0.3">
      <c r="A84" t="s">
        <v>15</v>
      </c>
      <c r="B84" t="s">
        <v>16</v>
      </c>
      <c r="C84" t="s">
        <v>175</v>
      </c>
      <c r="D84" t="s">
        <v>176</v>
      </c>
      <c r="E84" t="s">
        <v>19</v>
      </c>
      <c r="F84">
        <v>1</v>
      </c>
      <c r="G84">
        <v>26139.116000000002</v>
      </c>
      <c r="H84">
        <v>26139.11594</v>
      </c>
    </row>
    <row r="85" spans="1:8" hidden="1" x14ac:dyDescent="0.3">
      <c r="A85" t="s">
        <v>15</v>
      </c>
      <c r="B85" t="s">
        <v>16</v>
      </c>
      <c r="C85" t="s">
        <v>177</v>
      </c>
      <c r="D85" t="s">
        <v>178</v>
      </c>
      <c r="E85" t="s">
        <v>19</v>
      </c>
      <c r="F85">
        <v>1</v>
      </c>
      <c r="G85">
        <v>12935.388999999999</v>
      </c>
      <c r="H85">
        <v>12935.388650000001</v>
      </c>
    </row>
    <row r="86" spans="1:8" hidden="1" x14ac:dyDescent="0.3">
      <c r="A86" t="s">
        <v>15</v>
      </c>
      <c r="B86" t="s">
        <v>16</v>
      </c>
      <c r="C86" t="s">
        <v>179</v>
      </c>
      <c r="D86" t="s">
        <v>180</v>
      </c>
      <c r="E86" t="s">
        <v>19</v>
      </c>
      <c r="F86">
        <v>1</v>
      </c>
      <c r="G86">
        <v>30378.563999999998</v>
      </c>
      <c r="H86">
        <v>30378.56424</v>
      </c>
    </row>
    <row r="87" spans="1:8" hidden="1" x14ac:dyDescent="0.3">
      <c r="A87" t="s">
        <v>15</v>
      </c>
      <c r="B87" t="s">
        <v>16</v>
      </c>
      <c r="C87" t="s">
        <v>181</v>
      </c>
      <c r="D87" t="s">
        <v>182</v>
      </c>
      <c r="E87" t="s">
        <v>19</v>
      </c>
      <c r="F87">
        <v>1</v>
      </c>
      <c r="G87">
        <v>4507.7870000000003</v>
      </c>
      <c r="H87">
        <v>4507.7869499999997</v>
      </c>
    </row>
    <row r="88" spans="1:8" hidden="1" x14ac:dyDescent="0.3">
      <c r="A88" t="s">
        <v>15</v>
      </c>
      <c r="B88" t="s">
        <v>16</v>
      </c>
      <c r="C88" t="s">
        <v>183</v>
      </c>
      <c r="D88" t="s">
        <v>184</v>
      </c>
      <c r="E88" t="s">
        <v>19</v>
      </c>
      <c r="F88">
        <v>1</v>
      </c>
      <c r="G88">
        <v>3560.498</v>
      </c>
      <c r="H88">
        <v>3560.4983900000002</v>
      </c>
    </row>
    <row r="89" spans="1:8" hidden="1" x14ac:dyDescent="0.3">
      <c r="A89" t="s">
        <v>15</v>
      </c>
      <c r="B89" t="s">
        <v>16</v>
      </c>
      <c r="C89" t="s">
        <v>185</v>
      </c>
      <c r="D89" t="s">
        <v>186</v>
      </c>
      <c r="E89" t="s">
        <v>19</v>
      </c>
      <c r="F89">
        <v>1</v>
      </c>
      <c r="G89">
        <v>30378.563999999998</v>
      </c>
      <c r="H89">
        <v>30378.56424</v>
      </c>
    </row>
    <row r="90" spans="1:8" hidden="1" x14ac:dyDescent="0.3">
      <c r="A90" t="s">
        <v>15</v>
      </c>
      <c r="B90" t="s">
        <v>16</v>
      </c>
      <c r="C90" t="s">
        <v>187</v>
      </c>
      <c r="D90" t="s">
        <v>188</v>
      </c>
      <c r="E90" t="s">
        <v>19</v>
      </c>
      <c r="F90">
        <v>2</v>
      </c>
      <c r="G90">
        <v>18000</v>
      </c>
      <c r="H90">
        <v>36000</v>
      </c>
    </row>
    <row r="91" spans="1:8" hidden="1" x14ac:dyDescent="0.3">
      <c r="A91" t="s">
        <v>15</v>
      </c>
      <c r="B91" t="s">
        <v>16</v>
      </c>
      <c r="C91" t="s">
        <v>189</v>
      </c>
      <c r="D91" t="s">
        <v>190</v>
      </c>
      <c r="E91" t="s">
        <v>19</v>
      </c>
      <c r="F91">
        <v>8</v>
      </c>
      <c r="G91">
        <v>36.741</v>
      </c>
      <c r="H91">
        <v>293.92592000000002</v>
      </c>
    </row>
    <row r="92" spans="1:8" hidden="1" x14ac:dyDescent="0.3">
      <c r="A92" t="s">
        <v>15</v>
      </c>
      <c r="B92" t="s">
        <v>16</v>
      </c>
      <c r="C92" t="s">
        <v>191</v>
      </c>
      <c r="D92" t="s">
        <v>192</v>
      </c>
      <c r="E92" t="s">
        <v>193</v>
      </c>
      <c r="F92">
        <v>4</v>
      </c>
      <c r="G92">
        <v>19.492000000000001</v>
      </c>
      <c r="H92">
        <v>77.969080000000005</v>
      </c>
    </row>
    <row r="93" spans="1:8" hidden="1" x14ac:dyDescent="0.3">
      <c r="A93" t="s">
        <v>15</v>
      </c>
      <c r="B93" t="s">
        <v>16</v>
      </c>
      <c r="C93" t="s">
        <v>194</v>
      </c>
      <c r="D93" t="s">
        <v>195</v>
      </c>
      <c r="E93" t="s">
        <v>193</v>
      </c>
      <c r="F93">
        <v>1</v>
      </c>
      <c r="G93">
        <v>26</v>
      </c>
      <c r="H93">
        <v>26</v>
      </c>
    </row>
    <row r="94" spans="1:8" hidden="1" x14ac:dyDescent="0.3">
      <c r="A94" t="s">
        <v>15</v>
      </c>
      <c r="B94" t="s">
        <v>16</v>
      </c>
      <c r="C94" t="s">
        <v>196</v>
      </c>
      <c r="D94" t="s">
        <v>197</v>
      </c>
      <c r="E94" t="s">
        <v>193</v>
      </c>
      <c r="F94">
        <v>3</v>
      </c>
      <c r="G94">
        <v>41.61</v>
      </c>
      <c r="H94">
        <v>124.83</v>
      </c>
    </row>
    <row r="95" spans="1:8" hidden="1" x14ac:dyDescent="0.3">
      <c r="A95" t="s">
        <v>15</v>
      </c>
      <c r="B95" t="s">
        <v>16</v>
      </c>
      <c r="C95" t="s">
        <v>198</v>
      </c>
      <c r="D95" t="s">
        <v>199</v>
      </c>
      <c r="E95" t="s">
        <v>19</v>
      </c>
      <c r="F95">
        <v>1</v>
      </c>
      <c r="G95">
        <v>59.658000000000001</v>
      </c>
      <c r="H95">
        <v>59.658079999999998</v>
      </c>
    </row>
    <row r="96" spans="1:8" hidden="1" x14ac:dyDescent="0.3">
      <c r="A96" t="s">
        <v>15</v>
      </c>
      <c r="B96" t="s">
        <v>16</v>
      </c>
      <c r="C96" t="s">
        <v>200</v>
      </c>
      <c r="D96" t="s">
        <v>201</v>
      </c>
      <c r="E96" t="s">
        <v>19</v>
      </c>
      <c r="F96">
        <v>1</v>
      </c>
      <c r="G96">
        <v>176.571</v>
      </c>
      <c r="H96">
        <v>176.57059000000001</v>
      </c>
    </row>
    <row r="97" spans="1:8" hidden="1" x14ac:dyDescent="0.3">
      <c r="A97" t="s">
        <v>15</v>
      </c>
      <c r="B97" t="s">
        <v>16</v>
      </c>
      <c r="C97" t="s">
        <v>202</v>
      </c>
      <c r="D97" t="s">
        <v>203</v>
      </c>
      <c r="E97" t="s">
        <v>19</v>
      </c>
      <c r="F97">
        <v>2</v>
      </c>
      <c r="G97">
        <v>28.51</v>
      </c>
      <c r="H97">
        <v>57.019100000000002</v>
      </c>
    </row>
    <row r="98" spans="1:8" hidden="1" x14ac:dyDescent="0.3">
      <c r="A98" t="s">
        <v>15</v>
      </c>
      <c r="B98" t="s">
        <v>16</v>
      </c>
      <c r="C98" t="s">
        <v>204</v>
      </c>
      <c r="D98" t="s">
        <v>205</v>
      </c>
      <c r="E98" t="s">
        <v>19</v>
      </c>
      <c r="F98">
        <v>1</v>
      </c>
      <c r="G98">
        <v>38.927999999999997</v>
      </c>
      <c r="H98">
        <v>38.928139999999999</v>
      </c>
    </row>
    <row r="99" spans="1:8" hidden="1" x14ac:dyDescent="0.3">
      <c r="A99" t="s">
        <v>15</v>
      </c>
      <c r="B99" t="s">
        <v>16</v>
      </c>
      <c r="C99" t="s">
        <v>206</v>
      </c>
      <c r="D99" t="s">
        <v>207</v>
      </c>
      <c r="E99" t="s">
        <v>193</v>
      </c>
      <c r="F99">
        <v>15</v>
      </c>
      <c r="G99">
        <v>9.75</v>
      </c>
      <c r="H99">
        <v>146.25315000000001</v>
      </c>
    </row>
    <row r="100" spans="1:8" hidden="1" x14ac:dyDescent="0.3">
      <c r="A100" t="s">
        <v>15</v>
      </c>
      <c r="B100" t="s">
        <v>16</v>
      </c>
      <c r="C100" t="s">
        <v>208</v>
      </c>
      <c r="D100" t="s">
        <v>209</v>
      </c>
      <c r="E100" t="s">
        <v>210</v>
      </c>
      <c r="F100">
        <v>1</v>
      </c>
      <c r="G100">
        <v>17000</v>
      </c>
      <c r="H100">
        <v>17000</v>
      </c>
    </row>
    <row r="101" spans="1:8" hidden="1" x14ac:dyDescent="0.3">
      <c r="A101" t="s">
        <v>15</v>
      </c>
      <c r="B101" t="s">
        <v>16</v>
      </c>
      <c r="C101" t="s">
        <v>211</v>
      </c>
      <c r="D101" t="s">
        <v>212</v>
      </c>
      <c r="E101" t="s">
        <v>19</v>
      </c>
      <c r="F101">
        <v>1</v>
      </c>
      <c r="G101">
        <v>460.63</v>
      </c>
      <c r="H101">
        <v>460.62992000000003</v>
      </c>
    </row>
    <row r="102" spans="1:8" hidden="1" x14ac:dyDescent="0.3">
      <c r="A102" t="s">
        <v>15</v>
      </c>
      <c r="B102" t="s">
        <v>16</v>
      </c>
      <c r="C102" t="s">
        <v>213</v>
      </c>
      <c r="D102" t="s">
        <v>214</v>
      </c>
      <c r="E102" t="s">
        <v>19</v>
      </c>
      <c r="F102">
        <v>1</v>
      </c>
      <c r="G102">
        <v>253.27500000000001</v>
      </c>
      <c r="H102">
        <v>253.27491000000001</v>
      </c>
    </row>
    <row r="103" spans="1:8" hidden="1" x14ac:dyDescent="0.3">
      <c r="A103" t="s">
        <v>15</v>
      </c>
      <c r="B103" t="s">
        <v>16</v>
      </c>
      <c r="C103" t="s">
        <v>215</v>
      </c>
      <c r="D103" t="s">
        <v>216</v>
      </c>
      <c r="E103" t="s">
        <v>19</v>
      </c>
      <c r="F103">
        <v>1</v>
      </c>
      <c r="G103">
        <v>698423</v>
      </c>
      <c r="H103">
        <v>698423</v>
      </c>
    </row>
    <row r="104" spans="1:8" hidden="1" x14ac:dyDescent="0.3">
      <c r="A104" t="s">
        <v>15</v>
      </c>
      <c r="B104" t="s">
        <v>16</v>
      </c>
      <c r="C104" t="s">
        <v>217</v>
      </c>
      <c r="D104" t="s">
        <v>218</v>
      </c>
      <c r="E104" t="s">
        <v>19</v>
      </c>
      <c r="F104">
        <v>8</v>
      </c>
      <c r="G104">
        <v>73</v>
      </c>
      <c r="H104">
        <v>584.00072</v>
      </c>
    </row>
    <row r="105" spans="1:8" hidden="1" x14ac:dyDescent="0.3">
      <c r="A105" t="s">
        <v>15</v>
      </c>
      <c r="B105" t="s">
        <v>16</v>
      </c>
      <c r="C105" t="s">
        <v>219</v>
      </c>
      <c r="D105" t="s">
        <v>220</v>
      </c>
      <c r="E105" t="s">
        <v>19</v>
      </c>
      <c r="F105">
        <v>2</v>
      </c>
      <c r="G105">
        <v>30.925999999999998</v>
      </c>
      <c r="H105">
        <v>61.851860000000002</v>
      </c>
    </row>
    <row r="106" spans="1:8" hidden="1" x14ac:dyDescent="0.3">
      <c r="A106" t="s">
        <v>15</v>
      </c>
      <c r="B106" t="s">
        <v>16</v>
      </c>
      <c r="C106" t="s">
        <v>221</v>
      </c>
      <c r="D106" t="s">
        <v>222</v>
      </c>
      <c r="E106" t="s">
        <v>210</v>
      </c>
      <c r="F106">
        <v>2</v>
      </c>
      <c r="G106">
        <v>192.82</v>
      </c>
      <c r="H106">
        <v>385.64066000000003</v>
      </c>
    </row>
    <row r="107" spans="1:8" hidden="1" x14ac:dyDescent="0.3">
      <c r="A107" t="s">
        <v>15</v>
      </c>
      <c r="B107" t="s">
        <v>16</v>
      </c>
      <c r="C107" t="s">
        <v>223</v>
      </c>
      <c r="D107" t="s">
        <v>224</v>
      </c>
      <c r="E107" t="s">
        <v>210</v>
      </c>
      <c r="F107">
        <v>1</v>
      </c>
      <c r="G107">
        <v>1082.8789999999999</v>
      </c>
      <c r="H107">
        <v>1082.8787500000001</v>
      </c>
    </row>
    <row r="108" spans="1:8" hidden="1" x14ac:dyDescent="0.3">
      <c r="A108" t="s">
        <v>15</v>
      </c>
      <c r="B108" t="s">
        <v>16</v>
      </c>
      <c r="C108" t="s">
        <v>225</v>
      </c>
      <c r="D108" t="s">
        <v>226</v>
      </c>
      <c r="E108" t="s">
        <v>210</v>
      </c>
      <c r="F108">
        <v>1</v>
      </c>
      <c r="G108">
        <v>2524.8609999999999</v>
      </c>
      <c r="H108">
        <v>2524.8612499999999</v>
      </c>
    </row>
    <row r="109" spans="1:8" hidden="1" x14ac:dyDescent="0.3">
      <c r="A109" t="s">
        <v>15</v>
      </c>
      <c r="B109" t="s">
        <v>16</v>
      </c>
      <c r="C109" t="s">
        <v>227</v>
      </c>
      <c r="D109" t="s">
        <v>228</v>
      </c>
      <c r="E109" t="s">
        <v>19</v>
      </c>
      <c r="F109">
        <v>1</v>
      </c>
      <c r="G109">
        <v>85.171000000000006</v>
      </c>
      <c r="H109">
        <v>85.171130000000005</v>
      </c>
    </row>
    <row r="110" spans="1:8" hidden="1" x14ac:dyDescent="0.3">
      <c r="A110" t="s">
        <v>15</v>
      </c>
      <c r="B110" t="s">
        <v>16</v>
      </c>
      <c r="C110" t="s">
        <v>229</v>
      </c>
      <c r="D110" t="s">
        <v>230</v>
      </c>
      <c r="E110" t="s">
        <v>19</v>
      </c>
      <c r="F110">
        <v>4</v>
      </c>
      <c r="G110">
        <v>145.75200000000001</v>
      </c>
      <c r="H110">
        <v>583.00739999999996</v>
      </c>
    </row>
    <row r="111" spans="1:8" hidden="1" x14ac:dyDescent="0.3">
      <c r="A111" t="s">
        <v>15</v>
      </c>
      <c r="B111" t="s">
        <v>16</v>
      </c>
      <c r="C111" t="s">
        <v>231</v>
      </c>
      <c r="D111" t="s">
        <v>232</v>
      </c>
      <c r="E111" t="s">
        <v>233</v>
      </c>
      <c r="F111">
        <v>1.25</v>
      </c>
      <c r="G111">
        <v>219.81</v>
      </c>
      <c r="H111">
        <v>278.36975000000001</v>
      </c>
    </row>
    <row r="112" spans="1:8" hidden="1" x14ac:dyDescent="0.3">
      <c r="A112" t="s">
        <v>15</v>
      </c>
      <c r="B112" t="s">
        <v>16</v>
      </c>
      <c r="C112" t="s">
        <v>234</v>
      </c>
      <c r="D112" t="s">
        <v>235</v>
      </c>
      <c r="E112" t="s">
        <v>19</v>
      </c>
      <c r="F112">
        <v>1</v>
      </c>
      <c r="G112">
        <v>215.85400000000001</v>
      </c>
      <c r="H112">
        <v>215.85355000000001</v>
      </c>
    </row>
    <row r="113" spans="1:8" hidden="1" x14ac:dyDescent="0.3">
      <c r="A113" t="s">
        <v>15</v>
      </c>
      <c r="B113" t="s">
        <v>16</v>
      </c>
      <c r="C113" t="s">
        <v>236</v>
      </c>
      <c r="D113" t="s">
        <v>237</v>
      </c>
      <c r="E113" t="s">
        <v>19</v>
      </c>
      <c r="F113">
        <v>1</v>
      </c>
      <c r="G113">
        <v>179.51599999999999</v>
      </c>
      <c r="H113">
        <v>179.51613</v>
      </c>
    </row>
    <row r="114" spans="1:8" hidden="1" x14ac:dyDescent="0.3">
      <c r="A114" t="s">
        <v>15</v>
      </c>
      <c r="B114" t="s">
        <v>16</v>
      </c>
      <c r="C114" t="s">
        <v>238</v>
      </c>
      <c r="D114" t="s">
        <v>239</v>
      </c>
      <c r="E114" t="s">
        <v>19</v>
      </c>
      <c r="F114">
        <v>1</v>
      </c>
      <c r="G114">
        <v>1704.723</v>
      </c>
      <c r="H114">
        <v>1704.72291</v>
      </c>
    </row>
    <row r="115" spans="1:8" hidden="1" x14ac:dyDescent="0.3">
      <c r="A115" t="s">
        <v>15</v>
      </c>
      <c r="B115" t="s">
        <v>16</v>
      </c>
      <c r="C115" t="s">
        <v>240</v>
      </c>
      <c r="D115" t="s">
        <v>241</v>
      </c>
      <c r="E115" t="s">
        <v>19</v>
      </c>
      <c r="F115">
        <v>1</v>
      </c>
      <c r="G115">
        <v>190.89</v>
      </c>
      <c r="H115">
        <v>190.89</v>
      </c>
    </row>
    <row r="116" spans="1:8" hidden="1" x14ac:dyDescent="0.3">
      <c r="A116" t="s">
        <v>15</v>
      </c>
      <c r="B116" t="s">
        <v>16</v>
      </c>
      <c r="C116" t="s">
        <v>242</v>
      </c>
      <c r="D116" t="s">
        <v>243</v>
      </c>
      <c r="E116" t="s">
        <v>244</v>
      </c>
      <c r="F116">
        <v>1</v>
      </c>
      <c r="G116">
        <v>100</v>
      </c>
      <c r="H116">
        <v>100</v>
      </c>
    </row>
    <row r="117" spans="1:8" hidden="1" x14ac:dyDescent="0.3">
      <c r="A117" t="s">
        <v>15</v>
      </c>
      <c r="B117" t="s">
        <v>16</v>
      </c>
      <c r="C117" t="s">
        <v>245</v>
      </c>
      <c r="D117" t="s">
        <v>246</v>
      </c>
      <c r="E117" t="s">
        <v>19</v>
      </c>
      <c r="F117">
        <v>5</v>
      </c>
      <c r="G117">
        <v>7.2359999999999998</v>
      </c>
      <c r="H117">
        <v>36.177549999999997</v>
      </c>
    </row>
    <row r="118" spans="1:8" hidden="1" x14ac:dyDescent="0.3">
      <c r="A118" t="s">
        <v>15</v>
      </c>
      <c r="B118" t="s">
        <v>16</v>
      </c>
      <c r="C118" t="s">
        <v>247</v>
      </c>
      <c r="D118" t="s">
        <v>248</v>
      </c>
      <c r="E118" t="s">
        <v>19</v>
      </c>
      <c r="F118">
        <v>4</v>
      </c>
      <c r="G118">
        <v>63</v>
      </c>
      <c r="H118">
        <v>252</v>
      </c>
    </row>
    <row r="119" spans="1:8" hidden="1" x14ac:dyDescent="0.3">
      <c r="A119" t="s">
        <v>15</v>
      </c>
      <c r="B119" t="s">
        <v>16</v>
      </c>
      <c r="C119" t="s">
        <v>249</v>
      </c>
      <c r="D119" t="s">
        <v>250</v>
      </c>
      <c r="E119" t="s">
        <v>244</v>
      </c>
      <c r="F119">
        <v>1</v>
      </c>
      <c r="G119">
        <v>57.08</v>
      </c>
      <c r="H119">
        <v>57.08</v>
      </c>
    </row>
    <row r="120" spans="1:8" hidden="1" x14ac:dyDescent="0.3">
      <c r="A120" t="s">
        <v>15</v>
      </c>
      <c r="B120" t="s">
        <v>16</v>
      </c>
      <c r="C120" t="s">
        <v>251</v>
      </c>
      <c r="D120" t="s">
        <v>252</v>
      </c>
      <c r="E120" t="s">
        <v>19</v>
      </c>
      <c r="F120">
        <v>2</v>
      </c>
      <c r="G120">
        <v>154.06700000000001</v>
      </c>
      <c r="H120">
        <v>308.13477999999998</v>
      </c>
    </row>
    <row r="121" spans="1:8" hidden="1" x14ac:dyDescent="0.3">
      <c r="A121" t="s">
        <v>15</v>
      </c>
      <c r="B121" t="s">
        <v>16</v>
      </c>
      <c r="C121" t="s">
        <v>253</v>
      </c>
      <c r="D121" t="s">
        <v>254</v>
      </c>
      <c r="E121" t="s">
        <v>19</v>
      </c>
      <c r="F121">
        <v>1</v>
      </c>
      <c r="G121">
        <v>8600</v>
      </c>
      <c r="H121">
        <v>8600</v>
      </c>
    </row>
    <row r="122" spans="1:8" hidden="1" x14ac:dyDescent="0.3">
      <c r="A122" t="s">
        <v>15</v>
      </c>
      <c r="B122" t="s">
        <v>16</v>
      </c>
      <c r="C122" t="s">
        <v>255</v>
      </c>
      <c r="D122" t="s">
        <v>256</v>
      </c>
      <c r="E122" t="s">
        <v>19</v>
      </c>
      <c r="F122">
        <v>3</v>
      </c>
      <c r="G122">
        <v>5525</v>
      </c>
      <c r="H122">
        <v>16575</v>
      </c>
    </row>
    <row r="123" spans="1:8" hidden="1" x14ac:dyDescent="0.3">
      <c r="A123" t="s">
        <v>15</v>
      </c>
      <c r="B123" t="s">
        <v>16</v>
      </c>
      <c r="C123" t="s">
        <v>257</v>
      </c>
      <c r="D123" t="s">
        <v>258</v>
      </c>
      <c r="E123" t="s">
        <v>19</v>
      </c>
      <c r="F123">
        <v>4</v>
      </c>
      <c r="G123">
        <v>37.622</v>
      </c>
      <c r="H123">
        <v>150.48604</v>
      </c>
    </row>
    <row r="124" spans="1:8" hidden="1" x14ac:dyDescent="0.3">
      <c r="A124" t="s">
        <v>15</v>
      </c>
      <c r="B124" t="s">
        <v>16</v>
      </c>
      <c r="C124" t="s">
        <v>259</v>
      </c>
      <c r="D124" t="s">
        <v>260</v>
      </c>
      <c r="E124" t="s">
        <v>19</v>
      </c>
      <c r="F124">
        <v>1</v>
      </c>
      <c r="G124">
        <v>285.55099999999999</v>
      </c>
      <c r="H124">
        <v>285.55083999999999</v>
      </c>
    </row>
    <row r="125" spans="1:8" hidden="1" x14ac:dyDescent="0.3">
      <c r="A125" t="s">
        <v>15</v>
      </c>
      <c r="B125" t="s">
        <v>16</v>
      </c>
      <c r="C125" t="s">
        <v>261</v>
      </c>
      <c r="D125" t="s">
        <v>262</v>
      </c>
      <c r="E125" t="s">
        <v>19</v>
      </c>
      <c r="F125">
        <v>4</v>
      </c>
      <c r="G125">
        <v>7.5039999999999996</v>
      </c>
      <c r="H125">
        <v>30.013999999999999</v>
      </c>
    </row>
    <row r="126" spans="1:8" hidden="1" x14ac:dyDescent="0.3">
      <c r="A126" t="s">
        <v>15</v>
      </c>
      <c r="B126" t="s">
        <v>16</v>
      </c>
      <c r="C126" t="s">
        <v>263</v>
      </c>
      <c r="D126" t="s">
        <v>264</v>
      </c>
      <c r="E126" t="s">
        <v>233</v>
      </c>
      <c r="F126">
        <v>105</v>
      </c>
      <c r="G126">
        <v>24.193142857142799</v>
      </c>
      <c r="H126">
        <v>2540.3027999999999</v>
      </c>
    </row>
    <row r="127" spans="1:8" hidden="1" x14ac:dyDescent="0.3">
      <c r="A127" t="s">
        <v>15</v>
      </c>
      <c r="B127" t="s">
        <v>16</v>
      </c>
      <c r="C127" t="s">
        <v>265</v>
      </c>
      <c r="D127" t="s">
        <v>266</v>
      </c>
      <c r="E127" t="s">
        <v>233</v>
      </c>
      <c r="F127">
        <v>6</v>
      </c>
      <c r="G127">
        <v>52.140999999999998</v>
      </c>
      <c r="H127">
        <v>312.84780000000001</v>
      </c>
    </row>
    <row r="128" spans="1:8" hidden="1" x14ac:dyDescent="0.3">
      <c r="A128" t="s">
        <v>15</v>
      </c>
      <c r="B128" t="s">
        <v>16</v>
      </c>
      <c r="C128" t="s">
        <v>267</v>
      </c>
      <c r="D128" t="s">
        <v>268</v>
      </c>
      <c r="E128" t="s">
        <v>19</v>
      </c>
      <c r="F128">
        <v>2</v>
      </c>
      <c r="G128">
        <v>40</v>
      </c>
      <c r="H128">
        <v>80</v>
      </c>
    </row>
    <row r="129" spans="1:8" hidden="1" x14ac:dyDescent="0.3">
      <c r="A129" t="s">
        <v>15</v>
      </c>
      <c r="B129" t="s">
        <v>16</v>
      </c>
      <c r="C129" t="s">
        <v>269</v>
      </c>
      <c r="D129" t="s">
        <v>270</v>
      </c>
      <c r="E129" t="s">
        <v>244</v>
      </c>
      <c r="F129">
        <v>3</v>
      </c>
      <c r="G129">
        <v>279.93400000000003</v>
      </c>
      <c r="H129">
        <v>834.86764000000005</v>
      </c>
    </row>
    <row r="130" spans="1:8" hidden="1" x14ac:dyDescent="0.3">
      <c r="A130" t="s">
        <v>15</v>
      </c>
      <c r="B130" t="s">
        <v>16</v>
      </c>
      <c r="C130" t="s">
        <v>271</v>
      </c>
      <c r="D130" t="s">
        <v>272</v>
      </c>
      <c r="E130" t="s">
        <v>244</v>
      </c>
      <c r="F130">
        <v>12</v>
      </c>
      <c r="G130">
        <v>347.433142857142</v>
      </c>
      <c r="H130">
        <v>4170.0189600000003</v>
      </c>
    </row>
    <row r="131" spans="1:8" hidden="1" x14ac:dyDescent="0.3">
      <c r="A131" t="s">
        <v>15</v>
      </c>
      <c r="B131" t="s">
        <v>16</v>
      </c>
      <c r="C131" t="s">
        <v>273</v>
      </c>
      <c r="D131" t="s">
        <v>274</v>
      </c>
      <c r="E131" t="s">
        <v>19</v>
      </c>
      <c r="F131">
        <v>7</v>
      </c>
      <c r="G131">
        <v>12.14</v>
      </c>
      <c r="H131">
        <v>84.976709999999997</v>
      </c>
    </row>
    <row r="132" spans="1:8" hidden="1" x14ac:dyDescent="0.3">
      <c r="A132" t="s">
        <v>15</v>
      </c>
      <c r="B132" t="s">
        <v>16</v>
      </c>
      <c r="C132" t="s">
        <v>275</v>
      </c>
      <c r="D132" t="s">
        <v>276</v>
      </c>
      <c r="E132" t="s">
        <v>19</v>
      </c>
      <c r="F132">
        <v>1</v>
      </c>
      <c r="G132">
        <v>150.32400000000001</v>
      </c>
      <c r="H132">
        <v>150.32365999999999</v>
      </c>
    </row>
    <row r="133" spans="1:8" hidden="1" x14ac:dyDescent="0.3">
      <c r="A133" t="s">
        <v>15</v>
      </c>
      <c r="B133" t="s">
        <v>16</v>
      </c>
      <c r="C133" t="s">
        <v>277</v>
      </c>
      <c r="D133" t="s">
        <v>278</v>
      </c>
      <c r="E133" t="s">
        <v>19</v>
      </c>
      <c r="F133">
        <v>1</v>
      </c>
      <c r="G133">
        <v>1818.75</v>
      </c>
      <c r="H133">
        <v>1818.75</v>
      </c>
    </row>
    <row r="134" spans="1:8" hidden="1" x14ac:dyDescent="0.3">
      <c r="A134" t="s">
        <v>15</v>
      </c>
      <c r="B134" t="s">
        <v>16</v>
      </c>
      <c r="C134" t="s">
        <v>279</v>
      </c>
      <c r="D134" t="s">
        <v>280</v>
      </c>
      <c r="E134" t="s">
        <v>19</v>
      </c>
      <c r="F134">
        <v>1</v>
      </c>
      <c r="G134">
        <v>3031.25</v>
      </c>
      <c r="H134">
        <v>3031.25</v>
      </c>
    </row>
    <row r="135" spans="1:8" hidden="1" x14ac:dyDescent="0.3">
      <c r="A135" t="s">
        <v>15</v>
      </c>
      <c r="B135" t="s">
        <v>16</v>
      </c>
      <c r="C135" t="s">
        <v>281</v>
      </c>
      <c r="D135" t="s">
        <v>282</v>
      </c>
      <c r="E135" t="s">
        <v>19</v>
      </c>
      <c r="F135">
        <v>16</v>
      </c>
      <c r="G135">
        <v>12.445</v>
      </c>
      <c r="H135">
        <v>201.38892999999999</v>
      </c>
    </row>
    <row r="136" spans="1:8" hidden="1" x14ac:dyDescent="0.3">
      <c r="A136" t="s">
        <v>15</v>
      </c>
      <c r="B136" t="s">
        <v>16</v>
      </c>
      <c r="C136" t="s">
        <v>283</v>
      </c>
      <c r="D136" t="s">
        <v>284</v>
      </c>
      <c r="E136" t="s">
        <v>19</v>
      </c>
      <c r="F136">
        <v>4</v>
      </c>
      <c r="G136">
        <v>18</v>
      </c>
      <c r="H136">
        <v>72</v>
      </c>
    </row>
    <row r="137" spans="1:8" hidden="1" x14ac:dyDescent="0.3">
      <c r="A137" t="s">
        <v>15</v>
      </c>
      <c r="B137" t="s">
        <v>16</v>
      </c>
      <c r="C137" t="s">
        <v>285</v>
      </c>
      <c r="D137" t="s">
        <v>286</v>
      </c>
      <c r="E137" t="s">
        <v>19</v>
      </c>
      <c r="F137">
        <v>10</v>
      </c>
      <c r="G137">
        <v>109.61</v>
      </c>
      <c r="H137">
        <v>1096.0999999999999</v>
      </c>
    </row>
    <row r="138" spans="1:8" hidden="1" x14ac:dyDescent="0.3">
      <c r="A138" t="s">
        <v>15</v>
      </c>
      <c r="B138" t="s">
        <v>16</v>
      </c>
      <c r="C138" t="s">
        <v>287</v>
      </c>
      <c r="D138" t="s">
        <v>288</v>
      </c>
      <c r="E138" t="s">
        <v>193</v>
      </c>
      <c r="F138">
        <v>4</v>
      </c>
      <c r="G138">
        <v>70</v>
      </c>
      <c r="H138">
        <v>280</v>
      </c>
    </row>
    <row r="139" spans="1:8" hidden="1" x14ac:dyDescent="0.3">
      <c r="A139" t="s">
        <v>15</v>
      </c>
      <c r="B139" t="s">
        <v>16</v>
      </c>
      <c r="C139" t="s">
        <v>289</v>
      </c>
      <c r="D139" t="s">
        <v>290</v>
      </c>
      <c r="E139" t="s">
        <v>19</v>
      </c>
      <c r="F139">
        <v>4</v>
      </c>
      <c r="G139">
        <v>15</v>
      </c>
      <c r="H139">
        <v>60</v>
      </c>
    </row>
    <row r="140" spans="1:8" hidden="1" x14ac:dyDescent="0.3">
      <c r="A140" t="s">
        <v>15</v>
      </c>
      <c r="B140" t="s">
        <v>16</v>
      </c>
      <c r="C140" t="s">
        <v>291</v>
      </c>
      <c r="D140" t="s">
        <v>292</v>
      </c>
      <c r="E140" t="s">
        <v>293</v>
      </c>
      <c r="F140">
        <v>3</v>
      </c>
      <c r="G140">
        <v>480.13</v>
      </c>
      <c r="H140">
        <v>1440.39</v>
      </c>
    </row>
    <row r="141" spans="1:8" hidden="1" x14ac:dyDescent="0.3">
      <c r="A141" t="s">
        <v>15</v>
      </c>
      <c r="B141" t="s">
        <v>16</v>
      </c>
      <c r="C141" t="s">
        <v>294</v>
      </c>
      <c r="D141" t="s">
        <v>295</v>
      </c>
      <c r="E141" t="s">
        <v>293</v>
      </c>
      <c r="F141">
        <v>70</v>
      </c>
      <c r="G141">
        <v>130.32499999999999</v>
      </c>
      <c r="H141">
        <v>9122.7541999999994</v>
      </c>
    </row>
    <row r="142" spans="1:8" hidden="1" x14ac:dyDescent="0.3">
      <c r="A142" t="s">
        <v>15</v>
      </c>
      <c r="B142" t="s">
        <v>16</v>
      </c>
      <c r="C142" t="s">
        <v>296</v>
      </c>
      <c r="D142" t="s">
        <v>297</v>
      </c>
      <c r="E142" t="s">
        <v>233</v>
      </c>
      <c r="F142">
        <v>182</v>
      </c>
      <c r="G142">
        <v>236.64400000000001</v>
      </c>
      <c r="H142">
        <v>43069.187980000002</v>
      </c>
    </row>
    <row r="143" spans="1:8" hidden="1" x14ac:dyDescent="0.3">
      <c r="A143" t="s">
        <v>15</v>
      </c>
      <c r="B143" t="s">
        <v>16</v>
      </c>
      <c r="C143" t="s">
        <v>298</v>
      </c>
      <c r="D143" t="s">
        <v>299</v>
      </c>
      <c r="E143" t="s">
        <v>293</v>
      </c>
      <c r="F143">
        <v>30</v>
      </c>
      <c r="G143">
        <v>125.5</v>
      </c>
      <c r="H143">
        <v>3765</v>
      </c>
    </row>
    <row r="144" spans="1:8" hidden="1" x14ac:dyDescent="0.3">
      <c r="A144" t="s">
        <v>15</v>
      </c>
      <c r="B144" t="s">
        <v>16</v>
      </c>
      <c r="C144" t="s">
        <v>300</v>
      </c>
      <c r="D144" t="s">
        <v>301</v>
      </c>
      <c r="E144" t="s">
        <v>293</v>
      </c>
      <c r="F144">
        <v>1780</v>
      </c>
      <c r="G144">
        <v>164.034083333333</v>
      </c>
      <c r="H144">
        <v>306066.18190000003</v>
      </c>
    </row>
    <row r="145" spans="1:8" hidden="1" x14ac:dyDescent="0.3">
      <c r="A145" t="s">
        <v>15</v>
      </c>
      <c r="B145" t="s">
        <v>16</v>
      </c>
      <c r="C145" t="s">
        <v>302</v>
      </c>
      <c r="D145" t="s">
        <v>303</v>
      </c>
      <c r="E145" t="s">
        <v>19</v>
      </c>
      <c r="F145">
        <v>1</v>
      </c>
      <c r="G145">
        <v>5511.2179999999998</v>
      </c>
      <c r="H145">
        <v>5511.2184500000003</v>
      </c>
    </row>
    <row r="146" spans="1:8" hidden="1" x14ac:dyDescent="0.3">
      <c r="A146" t="s">
        <v>15</v>
      </c>
      <c r="B146" t="s">
        <v>16</v>
      </c>
      <c r="C146" t="s">
        <v>304</v>
      </c>
      <c r="D146" t="s">
        <v>305</v>
      </c>
      <c r="E146" t="s">
        <v>293</v>
      </c>
      <c r="F146">
        <v>840</v>
      </c>
      <c r="G146">
        <v>156</v>
      </c>
      <c r="H146">
        <v>131040</v>
      </c>
    </row>
    <row r="147" spans="1:8" hidden="1" x14ac:dyDescent="0.3">
      <c r="A147" t="s">
        <v>15</v>
      </c>
      <c r="B147" t="s">
        <v>306</v>
      </c>
      <c r="C147" t="s">
        <v>307</v>
      </c>
      <c r="D147" t="s">
        <v>308</v>
      </c>
      <c r="E147" t="s">
        <v>19</v>
      </c>
      <c r="F147">
        <v>1</v>
      </c>
      <c r="G147">
        <v>164.91200000000001</v>
      </c>
      <c r="H147">
        <v>164.91228000000001</v>
      </c>
    </row>
    <row r="148" spans="1:8" hidden="1" x14ac:dyDescent="0.3">
      <c r="A148" t="s">
        <v>15</v>
      </c>
      <c r="B148" t="s">
        <v>306</v>
      </c>
      <c r="C148" t="s">
        <v>309</v>
      </c>
      <c r="D148" t="s">
        <v>310</v>
      </c>
      <c r="E148" t="s">
        <v>19</v>
      </c>
      <c r="F148">
        <v>23</v>
      </c>
      <c r="G148">
        <v>8.5037500000000001</v>
      </c>
      <c r="H148">
        <v>195.7912</v>
      </c>
    </row>
    <row r="149" spans="1:8" hidden="1" x14ac:dyDescent="0.3">
      <c r="A149" t="s">
        <v>15</v>
      </c>
      <c r="B149" t="s">
        <v>306</v>
      </c>
      <c r="C149" t="s">
        <v>311</v>
      </c>
      <c r="D149" t="s">
        <v>312</v>
      </c>
      <c r="E149" t="s">
        <v>19</v>
      </c>
      <c r="F149">
        <v>106</v>
      </c>
      <c r="G149">
        <v>39.428769230769198</v>
      </c>
      <c r="H149">
        <v>4174.2472900000002</v>
      </c>
    </row>
    <row r="150" spans="1:8" hidden="1" x14ac:dyDescent="0.3">
      <c r="A150" t="s">
        <v>15</v>
      </c>
      <c r="B150" t="s">
        <v>306</v>
      </c>
      <c r="C150" t="s">
        <v>313</v>
      </c>
      <c r="D150" t="s">
        <v>314</v>
      </c>
      <c r="E150" t="s">
        <v>19</v>
      </c>
      <c r="F150">
        <v>9</v>
      </c>
      <c r="G150">
        <v>200.333</v>
      </c>
      <c r="H150">
        <v>1802.9999700000001</v>
      </c>
    </row>
    <row r="151" spans="1:8" hidden="1" x14ac:dyDescent="0.3">
      <c r="A151" t="s">
        <v>15</v>
      </c>
      <c r="B151" t="s">
        <v>306</v>
      </c>
      <c r="C151" t="s">
        <v>315</v>
      </c>
      <c r="D151" t="s">
        <v>316</v>
      </c>
      <c r="E151" t="s">
        <v>19</v>
      </c>
      <c r="F151">
        <v>1</v>
      </c>
      <c r="G151">
        <v>170.29499999999999</v>
      </c>
      <c r="H151">
        <v>170.29509999999999</v>
      </c>
    </row>
    <row r="152" spans="1:8" hidden="1" x14ac:dyDescent="0.3">
      <c r="A152" t="s">
        <v>15</v>
      </c>
      <c r="B152" t="s">
        <v>306</v>
      </c>
      <c r="C152" t="s">
        <v>317</v>
      </c>
      <c r="D152" t="s">
        <v>318</v>
      </c>
      <c r="E152" t="s">
        <v>19</v>
      </c>
      <c r="F152">
        <v>3</v>
      </c>
      <c r="G152">
        <v>255.61</v>
      </c>
      <c r="H152">
        <v>766.83020999999997</v>
      </c>
    </row>
    <row r="153" spans="1:8" hidden="1" x14ac:dyDescent="0.3">
      <c r="A153" t="s">
        <v>15</v>
      </c>
      <c r="B153" t="s">
        <v>306</v>
      </c>
      <c r="C153" t="s">
        <v>319</v>
      </c>
      <c r="D153" t="s">
        <v>320</v>
      </c>
      <c r="E153" t="s">
        <v>19</v>
      </c>
      <c r="F153">
        <v>20</v>
      </c>
      <c r="G153">
        <v>20.012</v>
      </c>
      <c r="H153">
        <v>395.18265000000002</v>
      </c>
    </row>
    <row r="154" spans="1:8" hidden="1" x14ac:dyDescent="0.3">
      <c r="A154" t="s">
        <v>15</v>
      </c>
      <c r="B154" t="s">
        <v>306</v>
      </c>
      <c r="C154" t="s">
        <v>321</v>
      </c>
      <c r="D154" t="s">
        <v>322</v>
      </c>
      <c r="E154" t="s">
        <v>323</v>
      </c>
      <c r="F154">
        <v>16</v>
      </c>
      <c r="G154">
        <v>28.405000000000001</v>
      </c>
      <c r="H154">
        <v>454.48703999999998</v>
      </c>
    </row>
    <row r="155" spans="1:8" hidden="1" x14ac:dyDescent="0.3">
      <c r="A155" t="s">
        <v>15</v>
      </c>
      <c r="B155" t="s">
        <v>306</v>
      </c>
      <c r="C155" t="s">
        <v>257</v>
      </c>
      <c r="D155" t="s">
        <v>258</v>
      </c>
      <c r="E155" t="s">
        <v>19</v>
      </c>
      <c r="F155">
        <v>35</v>
      </c>
      <c r="G155">
        <v>37.622</v>
      </c>
      <c r="H155">
        <v>1316.7528500000001</v>
      </c>
    </row>
    <row r="156" spans="1:8" hidden="1" x14ac:dyDescent="0.3">
      <c r="A156" t="s">
        <v>15</v>
      </c>
      <c r="B156" t="s">
        <v>306</v>
      </c>
      <c r="C156" t="s">
        <v>324</v>
      </c>
      <c r="D156" t="s">
        <v>325</v>
      </c>
      <c r="E156" t="s">
        <v>323</v>
      </c>
      <c r="F156">
        <v>2</v>
      </c>
      <c r="G156">
        <v>14.053000000000001</v>
      </c>
      <c r="H156">
        <v>28.105779999999999</v>
      </c>
    </row>
    <row r="157" spans="1:8" hidden="1" x14ac:dyDescent="0.3">
      <c r="A157" t="s">
        <v>15</v>
      </c>
      <c r="B157" t="s">
        <v>306</v>
      </c>
      <c r="C157" t="s">
        <v>326</v>
      </c>
      <c r="D157" t="s">
        <v>327</v>
      </c>
      <c r="E157" t="s">
        <v>19</v>
      </c>
      <c r="F157">
        <v>339</v>
      </c>
      <c r="G157">
        <v>11.074999999999999</v>
      </c>
      <c r="H157">
        <v>3754.4250000000002</v>
      </c>
    </row>
    <row r="158" spans="1:8" hidden="1" x14ac:dyDescent="0.3">
      <c r="A158" t="s">
        <v>15</v>
      </c>
      <c r="B158" t="s">
        <v>306</v>
      </c>
      <c r="C158" t="s">
        <v>328</v>
      </c>
      <c r="D158" t="s">
        <v>329</v>
      </c>
      <c r="E158" t="s">
        <v>19</v>
      </c>
      <c r="F158">
        <v>6</v>
      </c>
      <c r="G158">
        <v>173.3475</v>
      </c>
      <c r="H158">
        <v>1040.08455</v>
      </c>
    </row>
    <row r="159" spans="1:8" hidden="1" x14ac:dyDescent="0.3">
      <c r="A159" t="s">
        <v>15</v>
      </c>
      <c r="B159" t="s">
        <v>306</v>
      </c>
      <c r="C159" t="s">
        <v>330</v>
      </c>
      <c r="D159" t="s">
        <v>331</v>
      </c>
      <c r="E159" t="s">
        <v>19</v>
      </c>
      <c r="F159">
        <v>1</v>
      </c>
      <c r="G159">
        <v>168.404</v>
      </c>
      <c r="H159">
        <v>168.40365</v>
      </c>
    </row>
    <row r="160" spans="1:8" hidden="1" x14ac:dyDescent="0.3">
      <c r="A160" t="s">
        <v>15</v>
      </c>
      <c r="B160" t="s">
        <v>306</v>
      </c>
      <c r="C160" t="s">
        <v>332</v>
      </c>
      <c r="D160" t="s">
        <v>333</v>
      </c>
      <c r="E160" t="s">
        <v>323</v>
      </c>
      <c r="F160">
        <v>1</v>
      </c>
      <c r="G160">
        <v>956.78800000000001</v>
      </c>
      <c r="H160">
        <v>956.78786000000002</v>
      </c>
    </row>
    <row r="161" spans="1:8" hidden="1" x14ac:dyDescent="0.3">
      <c r="A161" t="s">
        <v>15</v>
      </c>
      <c r="B161" t="s">
        <v>306</v>
      </c>
      <c r="C161" t="s">
        <v>334</v>
      </c>
      <c r="D161" t="s">
        <v>335</v>
      </c>
      <c r="E161" t="s">
        <v>323</v>
      </c>
      <c r="F161">
        <v>5</v>
      </c>
      <c r="G161">
        <v>855.00199999999995</v>
      </c>
      <c r="H161">
        <v>4275.0096000000003</v>
      </c>
    </row>
    <row r="162" spans="1:8" hidden="1" x14ac:dyDescent="0.3">
      <c r="A162" t="s">
        <v>15</v>
      </c>
      <c r="B162" t="s">
        <v>306</v>
      </c>
      <c r="C162" t="s">
        <v>336</v>
      </c>
      <c r="D162" t="s">
        <v>337</v>
      </c>
      <c r="E162" t="s">
        <v>323</v>
      </c>
      <c r="F162">
        <v>12</v>
      </c>
      <c r="G162">
        <v>854.67550000000006</v>
      </c>
      <c r="H162">
        <v>10256.104230000001</v>
      </c>
    </row>
    <row r="163" spans="1:8" hidden="1" x14ac:dyDescent="0.3">
      <c r="A163" t="s">
        <v>15</v>
      </c>
      <c r="B163" t="s">
        <v>306</v>
      </c>
      <c r="C163" t="s">
        <v>338</v>
      </c>
      <c r="D163" t="s">
        <v>339</v>
      </c>
      <c r="E163" t="s">
        <v>323</v>
      </c>
      <c r="F163">
        <v>3</v>
      </c>
      <c r="G163">
        <v>853.69600000000003</v>
      </c>
      <c r="H163">
        <v>2561.0869499999999</v>
      </c>
    </row>
    <row r="164" spans="1:8" hidden="1" x14ac:dyDescent="0.3">
      <c r="A164" t="s">
        <v>15</v>
      </c>
      <c r="B164" t="s">
        <v>306</v>
      </c>
      <c r="C164" t="s">
        <v>340</v>
      </c>
      <c r="D164" t="s">
        <v>341</v>
      </c>
      <c r="E164" t="s">
        <v>323</v>
      </c>
      <c r="F164">
        <v>2</v>
      </c>
      <c r="G164">
        <v>853.69600000000003</v>
      </c>
      <c r="H164">
        <v>1707.3913</v>
      </c>
    </row>
    <row r="165" spans="1:8" hidden="1" x14ac:dyDescent="0.3">
      <c r="A165" t="s">
        <v>15</v>
      </c>
      <c r="B165" t="s">
        <v>306</v>
      </c>
      <c r="C165" t="s">
        <v>342</v>
      </c>
      <c r="D165" t="s">
        <v>343</v>
      </c>
      <c r="E165" t="s">
        <v>323</v>
      </c>
      <c r="F165">
        <v>1</v>
      </c>
      <c r="G165">
        <v>840.476</v>
      </c>
      <c r="H165">
        <v>840.47618999999997</v>
      </c>
    </row>
    <row r="166" spans="1:8" hidden="1" x14ac:dyDescent="0.3">
      <c r="A166" t="s">
        <v>15</v>
      </c>
      <c r="B166" t="s">
        <v>306</v>
      </c>
      <c r="C166" t="s">
        <v>344</v>
      </c>
      <c r="D166" t="s">
        <v>345</v>
      </c>
      <c r="E166" t="s">
        <v>323</v>
      </c>
      <c r="F166">
        <v>1</v>
      </c>
      <c r="G166">
        <v>968.48800000000006</v>
      </c>
      <c r="H166">
        <v>968.48749999999995</v>
      </c>
    </row>
    <row r="167" spans="1:8" hidden="1" x14ac:dyDescent="0.3">
      <c r="A167" t="s">
        <v>15</v>
      </c>
      <c r="B167" t="s">
        <v>306</v>
      </c>
      <c r="C167" t="s">
        <v>346</v>
      </c>
      <c r="D167" t="s">
        <v>347</v>
      </c>
      <c r="E167" t="s">
        <v>323</v>
      </c>
      <c r="F167">
        <v>1</v>
      </c>
      <c r="G167">
        <v>932</v>
      </c>
      <c r="H167">
        <v>932</v>
      </c>
    </row>
    <row r="168" spans="1:8" hidden="1" x14ac:dyDescent="0.3">
      <c r="A168" t="s">
        <v>15</v>
      </c>
      <c r="B168" t="s">
        <v>306</v>
      </c>
      <c r="C168" t="s">
        <v>348</v>
      </c>
      <c r="D168" t="s">
        <v>349</v>
      </c>
      <c r="E168" t="s">
        <v>323</v>
      </c>
      <c r="F168">
        <v>164</v>
      </c>
      <c r="G168">
        <v>36.821272727272699</v>
      </c>
      <c r="H168">
        <v>6037.5194499999998</v>
      </c>
    </row>
    <row r="169" spans="1:8" hidden="1" x14ac:dyDescent="0.3">
      <c r="A169" t="s">
        <v>15</v>
      </c>
      <c r="B169" t="s">
        <v>306</v>
      </c>
      <c r="C169" t="s">
        <v>350</v>
      </c>
      <c r="D169" t="s">
        <v>351</v>
      </c>
      <c r="E169" t="s">
        <v>19</v>
      </c>
      <c r="F169">
        <v>22</v>
      </c>
      <c r="G169">
        <v>171.959</v>
      </c>
      <c r="H169">
        <v>3783.09888</v>
      </c>
    </row>
    <row r="170" spans="1:8" hidden="1" x14ac:dyDescent="0.3">
      <c r="A170" t="s">
        <v>15</v>
      </c>
      <c r="B170" t="s">
        <v>306</v>
      </c>
      <c r="C170" t="s">
        <v>352</v>
      </c>
      <c r="D170" t="s">
        <v>353</v>
      </c>
      <c r="E170" t="s">
        <v>19</v>
      </c>
      <c r="F170">
        <v>22</v>
      </c>
      <c r="G170">
        <v>602.81200000000001</v>
      </c>
      <c r="H170">
        <v>13263.09996</v>
      </c>
    </row>
    <row r="171" spans="1:8" hidden="1" x14ac:dyDescent="0.3">
      <c r="A171" t="s">
        <v>15</v>
      </c>
      <c r="B171" t="s">
        <v>354</v>
      </c>
      <c r="C171" t="s">
        <v>355</v>
      </c>
      <c r="D171" t="s">
        <v>356</v>
      </c>
      <c r="E171" t="s">
        <v>19</v>
      </c>
      <c r="F171">
        <v>2</v>
      </c>
      <c r="G171">
        <v>52523.173000000003</v>
      </c>
      <c r="H171">
        <v>105046.345</v>
      </c>
    </row>
    <row r="172" spans="1:8" hidden="1" x14ac:dyDescent="0.3">
      <c r="A172" t="s">
        <v>15</v>
      </c>
      <c r="B172" t="s">
        <v>354</v>
      </c>
      <c r="C172" t="s">
        <v>357</v>
      </c>
      <c r="D172" t="s">
        <v>358</v>
      </c>
      <c r="E172" t="s">
        <v>19</v>
      </c>
      <c r="F172">
        <v>1</v>
      </c>
      <c r="G172">
        <v>9105.0949999999993</v>
      </c>
      <c r="H172">
        <v>9105.0948100000005</v>
      </c>
    </row>
    <row r="173" spans="1:8" hidden="1" x14ac:dyDescent="0.3">
      <c r="A173" t="s">
        <v>15</v>
      </c>
      <c r="B173" t="s">
        <v>354</v>
      </c>
      <c r="C173" t="s">
        <v>359</v>
      </c>
      <c r="D173" t="s">
        <v>360</v>
      </c>
      <c r="E173" t="s">
        <v>19</v>
      </c>
      <c r="F173">
        <v>2</v>
      </c>
      <c r="G173">
        <v>3665.944</v>
      </c>
      <c r="H173">
        <v>7331.8885099999998</v>
      </c>
    </row>
    <row r="174" spans="1:8" hidden="1" x14ac:dyDescent="0.3">
      <c r="A174" t="s">
        <v>15</v>
      </c>
      <c r="B174" t="s">
        <v>354</v>
      </c>
      <c r="C174" t="s">
        <v>361</v>
      </c>
      <c r="D174" t="s">
        <v>362</v>
      </c>
      <c r="E174" t="s">
        <v>19</v>
      </c>
      <c r="F174">
        <v>30</v>
      </c>
      <c r="G174">
        <v>594.875</v>
      </c>
      <c r="H174">
        <v>17846.25</v>
      </c>
    </row>
    <row r="175" spans="1:8" hidden="1" x14ac:dyDescent="0.3">
      <c r="A175" t="s">
        <v>15</v>
      </c>
      <c r="B175" t="s">
        <v>354</v>
      </c>
      <c r="C175" t="s">
        <v>363</v>
      </c>
      <c r="D175" t="s">
        <v>364</v>
      </c>
      <c r="E175" t="s">
        <v>19</v>
      </c>
      <c r="F175">
        <v>3</v>
      </c>
      <c r="G175">
        <v>6053.0069999999996</v>
      </c>
      <c r="H175">
        <v>18159.021270000001</v>
      </c>
    </row>
    <row r="176" spans="1:8" hidden="1" x14ac:dyDescent="0.3">
      <c r="A176" t="s">
        <v>15</v>
      </c>
      <c r="B176" t="s">
        <v>354</v>
      </c>
      <c r="C176" t="s">
        <v>365</v>
      </c>
      <c r="D176" t="s">
        <v>366</v>
      </c>
      <c r="E176" t="s">
        <v>19</v>
      </c>
      <c r="F176">
        <v>24</v>
      </c>
      <c r="G176">
        <v>293.35700000000003</v>
      </c>
      <c r="H176">
        <v>7040.5713599999999</v>
      </c>
    </row>
    <row r="177" spans="1:8" hidden="1" x14ac:dyDescent="0.3">
      <c r="A177" t="s">
        <v>15</v>
      </c>
      <c r="B177" t="s">
        <v>354</v>
      </c>
      <c r="C177" t="s">
        <v>367</v>
      </c>
      <c r="D177" t="s">
        <v>368</v>
      </c>
      <c r="E177" t="s">
        <v>19</v>
      </c>
      <c r="F177">
        <v>10</v>
      </c>
      <c r="G177">
        <v>196.22499999999999</v>
      </c>
      <c r="H177">
        <v>1962.2543000000001</v>
      </c>
    </row>
    <row r="178" spans="1:8" hidden="1" x14ac:dyDescent="0.3">
      <c r="A178" t="s">
        <v>15</v>
      </c>
      <c r="B178" t="s">
        <v>354</v>
      </c>
      <c r="C178" t="s">
        <v>369</v>
      </c>
      <c r="D178" t="s">
        <v>370</v>
      </c>
      <c r="E178" t="s">
        <v>19</v>
      </c>
      <c r="F178">
        <v>1</v>
      </c>
      <c r="G178">
        <v>31683.200000000001</v>
      </c>
      <c r="H178">
        <v>31683.200000000001</v>
      </c>
    </row>
    <row r="179" spans="1:8" hidden="1" x14ac:dyDescent="0.3">
      <c r="A179" t="s">
        <v>15</v>
      </c>
      <c r="B179" t="s">
        <v>354</v>
      </c>
      <c r="C179" t="s">
        <v>371</v>
      </c>
      <c r="D179" t="s">
        <v>372</v>
      </c>
      <c r="E179" t="s">
        <v>19</v>
      </c>
      <c r="F179">
        <v>7</v>
      </c>
      <c r="G179">
        <v>291</v>
      </c>
      <c r="H179">
        <v>2037</v>
      </c>
    </row>
    <row r="180" spans="1:8" hidden="1" x14ac:dyDescent="0.3">
      <c r="A180" t="s">
        <v>15</v>
      </c>
      <c r="B180" t="s">
        <v>354</v>
      </c>
      <c r="C180" t="s">
        <v>373</v>
      </c>
      <c r="D180" t="s">
        <v>374</v>
      </c>
      <c r="E180" t="s">
        <v>19</v>
      </c>
      <c r="F180">
        <v>1</v>
      </c>
      <c r="G180">
        <v>4626.7</v>
      </c>
      <c r="H180">
        <v>4626.7</v>
      </c>
    </row>
    <row r="181" spans="1:8" hidden="1" x14ac:dyDescent="0.3">
      <c r="A181" t="s">
        <v>15</v>
      </c>
      <c r="B181" t="s">
        <v>354</v>
      </c>
      <c r="C181" t="s">
        <v>375</v>
      </c>
      <c r="D181" t="s">
        <v>376</v>
      </c>
      <c r="E181" t="s">
        <v>19</v>
      </c>
      <c r="F181">
        <v>1</v>
      </c>
      <c r="G181">
        <v>4647.8339999999998</v>
      </c>
      <c r="H181">
        <v>4647.8339999999998</v>
      </c>
    </row>
    <row r="182" spans="1:8" hidden="1" x14ac:dyDescent="0.3">
      <c r="A182" t="s">
        <v>15</v>
      </c>
      <c r="B182" t="s">
        <v>354</v>
      </c>
      <c r="C182" t="s">
        <v>377</v>
      </c>
      <c r="D182" t="s">
        <v>378</v>
      </c>
      <c r="E182" t="s">
        <v>19</v>
      </c>
      <c r="F182">
        <v>3</v>
      </c>
      <c r="G182">
        <v>875</v>
      </c>
      <c r="H182">
        <v>2625</v>
      </c>
    </row>
    <row r="183" spans="1:8" hidden="1" x14ac:dyDescent="0.3">
      <c r="A183" t="s">
        <v>15</v>
      </c>
      <c r="B183" t="s">
        <v>354</v>
      </c>
      <c r="C183" t="s">
        <v>379</v>
      </c>
      <c r="D183" t="s">
        <v>380</v>
      </c>
      <c r="E183" t="s">
        <v>19</v>
      </c>
      <c r="F183">
        <v>2</v>
      </c>
      <c r="G183">
        <v>2138.2179999999998</v>
      </c>
      <c r="H183">
        <v>4276.4350999999997</v>
      </c>
    </row>
    <row r="184" spans="1:8" hidden="1" x14ac:dyDescent="0.3">
      <c r="A184" t="s">
        <v>15</v>
      </c>
      <c r="B184" t="s">
        <v>354</v>
      </c>
      <c r="C184" t="s">
        <v>381</v>
      </c>
      <c r="D184" t="s">
        <v>382</v>
      </c>
      <c r="E184" t="s">
        <v>19</v>
      </c>
      <c r="F184">
        <v>1</v>
      </c>
      <c r="G184">
        <v>11625</v>
      </c>
      <c r="H184">
        <v>11625</v>
      </c>
    </row>
    <row r="185" spans="1:8" hidden="1" x14ac:dyDescent="0.3">
      <c r="A185" t="s">
        <v>15</v>
      </c>
      <c r="B185" t="s">
        <v>354</v>
      </c>
      <c r="C185" t="s">
        <v>383</v>
      </c>
      <c r="D185" t="s">
        <v>384</v>
      </c>
      <c r="E185" t="s">
        <v>19</v>
      </c>
      <c r="F185">
        <v>1</v>
      </c>
      <c r="G185">
        <v>34875</v>
      </c>
      <c r="H185">
        <v>34875</v>
      </c>
    </row>
    <row r="186" spans="1:8" hidden="1" x14ac:dyDescent="0.3">
      <c r="A186" t="s">
        <v>15</v>
      </c>
      <c r="B186" t="s">
        <v>354</v>
      </c>
      <c r="C186" t="s">
        <v>385</v>
      </c>
      <c r="D186" t="s">
        <v>386</v>
      </c>
      <c r="E186" t="s">
        <v>19</v>
      </c>
      <c r="F186">
        <v>1</v>
      </c>
      <c r="G186">
        <v>11625</v>
      </c>
      <c r="H186">
        <v>11625</v>
      </c>
    </row>
    <row r="187" spans="1:8" hidden="1" x14ac:dyDescent="0.3">
      <c r="A187" t="s">
        <v>15</v>
      </c>
      <c r="B187" t="s">
        <v>354</v>
      </c>
      <c r="C187" t="s">
        <v>387</v>
      </c>
      <c r="D187" t="s">
        <v>388</v>
      </c>
      <c r="E187" t="s">
        <v>233</v>
      </c>
      <c r="F187">
        <v>0.5</v>
      </c>
      <c r="G187">
        <v>92.477000000000004</v>
      </c>
      <c r="H187">
        <v>46.238529999999997</v>
      </c>
    </row>
    <row r="188" spans="1:8" hidden="1" x14ac:dyDescent="0.3">
      <c r="A188" t="s">
        <v>15</v>
      </c>
      <c r="B188" t="s">
        <v>354</v>
      </c>
      <c r="C188" t="s">
        <v>389</v>
      </c>
      <c r="D188" t="s">
        <v>390</v>
      </c>
      <c r="E188" t="s">
        <v>19</v>
      </c>
      <c r="F188">
        <v>30</v>
      </c>
      <c r="G188">
        <v>0.627</v>
      </c>
      <c r="H188">
        <v>18.7959</v>
      </c>
    </row>
    <row r="189" spans="1:8" hidden="1" x14ac:dyDescent="0.3">
      <c r="A189" t="s">
        <v>15</v>
      </c>
      <c r="B189" t="s">
        <v>354</v>
      </c>
      <c r="C189" t="s">
        <v>391</v>
      </c>
      <c r="D189" t="s">
        <v>392</v>
      </c>
      <c r="E189" t="s">
        <v>210</v>
      </c>
      <c r="F189">
        <v>20</v>
      </c>
      <c r="G189">
        <v>6</v>
      </c>
      <c r="H189">
        <v>120</v>
      </c>
    </row>
    <row r="190" spans="1:8" hidden="1" x14ac:dyDescent="0.3">
      <c r="A190" t="s">
        <v>15</v>
      </c>
      <c r="B190" t="s">
        <v>354</v>
      </c>
      <c r="C190" t="s">
        <v>393</v>
      </c>
      <c r="D190" t="s">
        <v>394</v>
      </c>
      <c r="E190" t="s">
        <v>210</v>
      </c>
      <c r="F190">
        <v>25</v>
      </c>
      <c r="G190">
        <v>19.672999999999998</v>
      </c>
      <c r="H190">
        <v>491.81774999999999</v>
      </c>
    </row>
    <row r="191" spans="1:8" hidden="1" x14ac:dyDescent="0.3">
      <c r="A191" t="s">
        <v>15</v>
      </c>
      <c r="B191" t="s">
        <v>354</v>
      </c>
      <c r="C191" t="s">
        <v>395</v>
      </c>
      <c r="D191" t="s">
        <v>396</v>
      </c>
      <c r="E191" t="s">
        <v>19</v>
      </c>
      <c r="F191">
        <v>8</v>
      </c>
      <c r="G191">
        <v>34.845750000000002</v>
      </c>
      <c r="H191">
        <v>193.3717</v>
      </c>
    </row>
    <row r="192" spans="1:8" hidden="1" x14ac:dyDescent="0.3">
      <c r="A192" t="s">
        <v>15</v>
      </c>
      <c r="B192" t="s">
        <v>354</v>
      </c>
      <c r="C192" t="s">
        <v>397</v>
      </c>
      <c r="D192" t="s">
        <v>398</v>
      </c>
      <c r="E192" t="s">
        <v>19</v>
      </c>
      <c r="F192">
        <v>1</v>
      </c>
      <c r="G192">
        <v>450</v>
      </c>
      <c r="H192">
        <v>450</v>
      </c>
    </row>
    <row r="193" spans="1:8" hidden="1" x14ac:dyDescent="0.3">
      <c r="A193" t="s">
        <v>15</v>
      </c>
      <c r="B193" t="s">
        <v>354</v>
      </c>
      <c r="C193" t="s">
        <v>399</v>
      </c>
      <c r="D193" t="s">
        <v>400</v>
      </c>
      <c r="E193" t="s">
        <v>19</v>
      </c>
      <c r="F193">
        <v>3</v>
      </c>
      <c r="G193">
        <v>225.99100000000001</v>
      </c>
      <c r="H193">
        <v>677.97230000000002</v>
      </c>
    </row>
    <row r="194" spans="1:8" hidden="1" x14ac:dyDescent="0.3">
      <c r="A194" t="s">
        <v>15</v>
      </c>
      <c r="B194" t="s">
        <v>354</v>
      </c>
      <c r="C194" t="s">
        <v>401</v>
      </c>
      <c r="D194" t="s">
        <v>402</v>
      </c>
      <c r="E194" t="s">
        <v>19</v>
      </c>
      <c r="F194">
        <v>1</v>
      </c>
      <c r="G194">
        <v>210.81700000000001</v>
      </c>
      <c r="H194">
        <v>210.81702999999999</v>
      </c>
    </row>
    <row r="195" spans="1:8" hidden="1" x14ac:dyDescent="0.3">
      <c r="A195" t="s">
        <v>15</v>
      </c>
      <c r="B195" t="s">
        <v>354</v>
      </c>
      <c r="C195" t="s">
        <v>403</v>
      </c>
      <c r="D195" t="s">
        <v>404</v>
      </c>
      <c r="E195" t="s">
        <v>19</v>
      </c>
      <c r="F195">
        <v>5</v>
      </c>
      <c r="G195">
        <v>1680</v>
      </c>
      <c r="H195">
        <v>8400</v>
      </c>
    </row>
    <row r="196" spans="1:8" hidden="1" x14ac:dyDescent="0.3">
      <c r="A196" t="s">
        <v>15</v>
      </c>
      <c r="B196" t="s">
        <v>354</v>
      </c>
      <c r="C196" t="s">
        <v>405</v>
      </c>
      <c r="D196" t="s">
        <v>406</v>
      </c>
      <c r="E196" t="s">
        <v>19</v>
      </c>
      <c r="F196">
        <v>3</v>
      </c>
      <c r="G196">
        <v>2580</v>
      </c>
      <c r="H196">
        <v>7740</v>
      </c>
    </row>
    <row r="197" spans="1:8" hidden="1" x14ac:dyDescent="0.3">
      <c r="A197" t="s">
        <v>15</v>
      </c>
      <c r="B197" t="s">
        <v>354</v>
      </c>
      <c r="C197" t="s">
        <v>407</v>
      </c>
      <c r="D197" t="s">
        <v>408</v>
      </c>
      <c r="E197" t="s">
        <v>19</v>
      </c>
      <c r="F197">
        <v>2</v>
      </c>
      <c r="G197">
        <v>56</v>
      </c>
      <c r="H197">
        <v>112</v>
      </c>
    </row>
    <row r="198" spans="1:8" hidden="1" x14ac:dyDescent="0.3">
      <c r="A198" t="s">
        <v>15</v>
      </c>
      <c r="B198" t="s">
        <v>354</v>
      </c>
      <c r="C198" t="s">
        <v>409</v>
      </c>
      <c r="D198" t="s">
        <v>410</v>
      </c>
      <c r="E198" t="s">
        <v>19</v>
      </c>
      <c r="F198">
        <v>1</v>
      </c>
      <c r="G198">
        <v>23530</v>
      </c>
      <c r="H198">
        <v>23530</v>
      </c>
    </row>
    <row r="199" spans="1:8" hidden="1" x14ac:dyDescent="0.3">
      <c r="A199" t="s">
        <v>15</v>
      </c>
      <c r="B199" t="s">
        <v>354</v>
      </c>
      <c r="C199" t="s">
        <v>411</v>
      </c>
      <c r="D199" t="s">
        <v>412</v>
      </c>
      <c r="E199" t="s">
        <v>19</v>
      </c>
      <c r="F199">
        <v>1</v>
      </c>
      <c r="G199">
        <v>14535</v>
      </c>
      <c r="H199">
        <v>14535</v>
      </c>
    </row>
    <row r="200" spans="1:8" hidden="1" x14ac:dyDescent="0.3">
      <c r="A200" t="s">
        <v>15</v>
      </c>
      <c r="B200" t="s">
        <v>354</v>
      </c>
      <c r="C200" t="s">
        <v>413</v>
      </c>
      <c r="D200" t="s">
        <v>414</v>
      </c>
      <c r="E200" t="s">
        <v>19</v>
      </c>
      <c r="F200">
        <v>15</v>
      </c>
      <c r="G200">
        <v>9.2949999999999999</v>
      </c>
      <c r="H200">
        <v>139.42094</v>
      </c>
    </row>
    <row r="201" spans="1:8" hidden="1" x14ac:dyDescent="0.3">
      <c r="A201" t="s">
        <v>15</v>
      </c>
      <c r="B201" t="s">
        <v>354</v>
      </c>
      <c r="C201" t="s">
        <v>415</v>
      </c>
      <c r="D201" t="s">
        <v>416</v>
      </c>
      <c r="E201" t="s">
        <v>19</v>
      </c>
      <c r="F201">
        <v>5</v>
      </c>
      <c r="G201">
        <v>11.231</v>
      </c>
      <c r="H201">
        <v>56.155000000000001</v>
      </c>
    </row>
    <row r="202" spans="1:8" hidden="1" x14ac:dyDescent="0.3">
      <c r="A202" t="s">
        <v>15</v>
      </c>
      <c r="B202" t="s">
        <v>354</v>
      </c>
      <c r="C202" t="s">
        <v>417</v>
      </c>
      <c r="D202" t="s">
        <v>418</v>
      </c>
      <c r="E202" t="s">
        <v>19</v>
      </c>
      <c r="F202">
        <v>7</v>
      </c>
      <c r="G202">
        <v>22.5425</v>
      </c>
      <c r="H202">
        <v>157.71588</v>
      </c>
    </row>
    <row r="203" spans="1:8" hidden="1" x14ac:dyDescent="0.3">
      <c r="A203" t="s">
        <v>15</v>
      </c>
      <c r="B203" t="s">
        <v>354</v>
      </c>
      <c r="C203" t="s">
        <v>419</v>
      </c>
      <c r="D203" t="s">
        <v>420</v>
      </c>
      <c r="E203" t="s">
        <v>19</v>
      </c>
      <c r="F203">
        <v>2</v>
      </c>
      <c r="G203">
        <v>56.287999999999997</v>
      </c>
      <c r="H203">
        <v>112.57697</v>
      </c>
    </row>
    <row r="204" spans="1:8" hidden="1" x14ac:dyDescent="0.3">
      <c r="A204" t="s">
        <v>15</v>
      </c>
      <c r="B204" t="s">
        <v>354</v>
      </c>
      <c r="C204" t="s">
        <v>421</v>
      </c>
      <c r="D204" t="s">
        <v>422</v>
      </c>
      <c r="E204" t="s">
        <v>19</v>
      </c>
      <c r="F204">
        <v>2</v>
      </c>
      <c r="G204">
        <v>39.170999999999999</v>
      </c>
      <c r="H204">
        <v>78.341740000000001</v>
      </c>
    </row>
    <row r="205" spans="1:8" hidden="1" x14ac:dyDescent="0.3">
      <c r="A205" t="s">
        <v>15</v>
      </c>
      <c r="B205" t="s">
        <v>354</v>
      </c>
      <c r="C205" t="s">
        <v>423</v>
      </c>
      <c r="D205" t="s">
        <v>424</v>
      </c>
      <c r="E205" t="s">
        <v>19</v>
      </c>
      <c r="F205">
        <v>3</v>
      </c>
      <c r="G205">
        <v>47.512999999999998</v>
      </c>
      <c r="H205">
        <v>142.54002</v>
      </c>
    </row>
    <row r="206" spans="1:8" hidden="1" x14ac:dyDescent="0.3">
      <c r="A206" t="s">
        <v>15</v>
      </c>
      <c r="B206" t="s">
        <v>354</v>
      </c>
      <c r="C206" t="s">
        <v>231</v>
      </c>
      <c r="D206" t="s">
        <v>232</v>
      </c>
      <c r="E206" t="s">
        <v>233</v>
      </c>
      <c r="F206">
        <v>0.25</v>
      </c>
      <c r="G206">
        <v>227.00700000000001</v>
      </c>
      <c r="H206">
        <v>56.751750000000001</v>
      </c>
    </row>
    <row r="207" spans="1:8" hidden="1" x14ac:dyDescent="0.3">
      <c r="A207" t="s">
        <v>15</v>
      </c>
      <c r="B207" t="s">
        <v>354</v>
      </c>
      <c r="C207" t="s">
        <v>425</v>
      </c>
      <c r="D207" t="s">
        <v>426</v>
      </c>
      <c r="E207" t="s">
        <v>210</v>
      </c>
      <c r="F207">
        <v>1</v>
      </c>
      <c r="G207">
        <v>1860.529</v>
      </c>
      <c r="H207">
        <v>1860.5294200000001</v>
      </c>
    </row>
    <row r="208" spans="1:8" hidden="1" x14ac:dyDescent="0.3">
      <c r="A208" t="s">
        <v>15</v>
      </c>
      <c r="B208" t="s">
        <v>354</v>
      </c>
      <c r="C208" t="s">
        <v>427</v>
      </c>
      <c r="D208" t="s">
        <v>428</v>
      </c>
      <c r="E208" t="s">
        <v>19</v>
      </c>
      <c r="F208">
        <v>1</v>
      </c>
      <c r="G208">
        <v>1601</v>
      </c>
      <c r="H208">
        <v>1601</v>
      </c>
    </row>
    <row r="209" spans="1:8" hidden="1" x14ac:dyDescent="0.3">
      <c r="A209" t="s">
        <v>15</v>
      </c>
      <c r="B209" t="s">
        <v>354</v>
      </c>
      <c r="C209" t="s">
        <v>429</v>
      </c>
      <c r="D209" t="s">
        <v>430</v>
      </c>
      <c r="E209" t="s">
        <v>19</v>
      </c>
      <c r="F209">
        <v>1</v>
      </c>
      <c r="G209">
        <v>124.57</v>
      </c>
      <c r="H209">
        <v>124.57003</v>
      </c>
    </row>
    <row r="210" spans="1:8" hidden="1" x14ac:dyDescent="0.3">
      <c r="A210" t="s">
        <v>15</v>
      </c>
      <c r="B210" t="s">
        <v>354</v>
      </c>
      <c r="C210" t="s">
        <v>431</v>
      </c>
      <c r="D210" t="s">
        <v>432</v>
      </c>
      <c r="E210" t="s">
        <v>19</v>
      </c>
      <c r="F210">
        <v>10</v>
      </c>
      <c r="G210">
        <v>60.48</v>
      </c>
      <c r="H210">
        <v>604.79999999999995</v>
      </c>
    </row>
    <row r="211" spans="1:8" hidden="1" x14ac:dyDescent="0.3">
      <c r="A211" t="s">
        <v>15</v>
      </c>
      <c r="B211" t="s">
        <v>354</v>
      </c>
      <c r="C211" t="s">
        <v>433</v>
      </c>
      <c r="D211" t="s">
        <v>434</v>
      </c>
      <c r="E211" t="s">
        <v>19</v>
      </c>
      <c r="F211">
        <v>10</v>
      </c>
      <c r="G211">
        <v>38.43</v>
      </c>
      <c r="H211">
        <v>384.3</v>
      </c>
    </row>
    <row r="212" spans="1:8" hidden="1" x14ac:dyDescent="0.3">
      <c r="A212" t="s">
        <v>15</v>
      </c>
      <c r="B212" t="s">
        <v>354</v>
      </c>
      <c r="C212" t="s">
        <v>435</v>
      </c>
      <c r="D212" t="s">
        <v>436</v>
      </c>
      <c r="E212" t="s">
        <v>19</v>
      </c>
      <c r="F212">
        <v>2</v>
      </c>
      <c r="G212">
        <v>84.753</v>
      </c>
      <c r="H212">
        <v>169.50623999999999</v>
      </c>
    </row>
    <row r="213" spans="1:8" hidden="1" x14ac:dyDescent="0.3">
      <c r="A213" t="s">
        <v>15</v>
      </c>
      <c r="B213" t="s">
        <v>354</v>
      </c>
      <c r="C213" t="s">
        <v>240</v>
      </c>
      <c r="D213" t="s">
        <v>241</v>
      </c>
      <c r="E213" t="s">
        <v>19</v>
      </c>
      <c r="F213">
        <v>3</v>
      </c>
      <c r="G213">
        <v>190.89</v>
      </c>
      <c r="H213">
        <v>572.66999999999996</v>
      </c>
    </row>
    <row r="214" spans="1:8" hidden="1" x14ac:dyDescent="0.3">
      <c r="A214" t="s">
        <v>15</v>
      </c>
      <c r="B214" t="s">
        <v>354</v>
      </c>
      <c r="C214" t="s">
        <v>437</v>
      </c>
      <c r="D214" t="s">
        <v>438</v>
      </c>
      <c r="E214" t="s">
        <v>19</v>
      </c>
      <c r="F214">
        <v>3</v>
      </c>
      <c r="G214">
        <v>498.12</v>
      </c>
      <c r="H214">
        <v>1481.48</v>
      </c>
    </row>
    <row r="215" spans="1:8" hidden="1" x14ac:dyDescent="0.3">
      <c r="A215" t="s">
        <v>15</v>
      </c>
      <c r="B215" t="s">
        <v>354</v>
      </c>
      <c r="C215" t="s">
        <v>439</v>
      </c>
      <c r="D215" t="s">
        <v>440</v>
      </c>
      <c r="E215" t="s">
        <v>19</v>
      </c>
      <c r="F215">
        <v>2</v>
      </c>
      <c r="G215">
        <v>1430.6890000000001</v>
      </c>
      <c r="H215">
        <v>2861.37788</v>
      </c>
    </row>
    <row r="216" spans="1:8" hidden="1" x14ac:dyDescent="0.3">
      <c r="A216" t="s">
        <v>15</v>
      </c>
      <c r="B216" t="s">
        <v>354</v>
      </c>
      <c r="C216" t="s">
        <v>441</v>
      </c>
      <c r="D216" t="s">
        <v>442</v>
      </c>
      <c r="E216" t="s">
        <v>19</v>
      </c>
      <c r="F216">
        <v>10</v>
      </c>
      <c r="G216">
        <v>123.75</v>
      </c>
      <c r="H216">
        <v>1237.5</v>
      </c>
    </row>
    <row r="217" spans="1:8" hidden="1" x14ac:dyDescent="0.3">
      <c r="A217" t="s">
        <v>15</v>
      </c>
      <c r="B217" t="s">
        <v>354</v>
      </c>
      <c r="C217" t="s">
        <v>443</v>
      </c>
      <c r="D217" t="s">
        <v>444</v>
      </c>
      <c r="E217" t="s">
        <v>19</v>
      </c>
      <c r="F217">
        <v>2</v>
      </c>
      <c r="G217">
        <v>111.8</v>
      </c>
      <c r="H217">
        <v>223.6</v>
      </c>
    </row>
    <row r="218" spans="1:8" hidden="1" x14ac:dyDescent="0.3">
      <c r="A218" t="s">
        <v>15</v>
      </c>
      <c r="B218" t="s">
        <v>354</v>
      </c>
      <c r="C218" t="s">
        <v>445</v>
      </c>
      <c r="D218" t="s">
        <v>446</v>
      </c>
      <c r="E218" t="s">
        <v>19</v>
      </c>
      <c r="F218">
        <v>3</v>
      </c>
      <c r="G218">
        <v>109.97499999999999</v>
      </c>
      <c r="H218">
        <v>329.92500000000001</v>
      </c>
    </row>
    <row r="219" spans="1:8" hidden="1" x14ac:dyDescent="0.3">
      <c r="A219" t="s">
        <v>15</v>
      </c>
      <c r="B219" t="s">
        <v>354</v>
      </c>
      <c r="C219" t="s">
        <v>447</v>
      </c>
      <c r="D219" t="s">
        <v>448</v>
      </c>
      <c r="E219" t="s">
        <v>19</v>
      </c>
      <c r="F219">
        <v>3</v>
      </c>
      <c r="G219">
        <v>325</v>
      </c>
      <c r="H219">
        <v>975</v>
      </c>
    </row>
    <row r="220" spans="1:8" hidden="1" x14ac:dyDescent="0.3">
      <c r="A220" t="s">
        <v>15</v>
      </c>
      <c r="B220" t="s">
        <v>354</v>
      </c>
      <c r="C220" t="s">
        <v>449</v>
      </c>
      <c r="D220" t="s">
        <v>450</v>
      </c>
      <c r="E220" t="s">
        <v>19</v>
      </c>
      <c r="F220">
        <v>5</v>
      </c>
      <c r="G220">
        <v>351.892</v>
      </c>
      <c r="H220">
        <v>1732.5683899999999</v>
      </c>
    </row>
    <row r="221" spans="1:8" hidden="1" x14ac:dyDescent="0.3">
      <c r="A221" t="s">
        <v>15</v>
      </c>
      <c r="B221" t="s">
        <v>354</v>
      </c>
      <c r="C221" t="s">
        <v>451</v>
      </c>
      <c r="D221" t="s">
        <v>452</v>
      </c>
      <c r="E221" t="s">
        <v>19</v>
      </c>
      <c r="F221">
        <v>5</v>
      </c>
      <c r="G221">
        <v>325.291666666666</v>
      </c>
      <c r="H221">
        <v>1625.875</v>
      </c>
    </row>
    <row r="222" spans="1:8" hidden="1" x14ac:dyDescent="0.3">
      <c r="A222" t="s">
        <v>15</v>
      </c>
      <c r="B222" t="s">
        <v>354</v>
      </c>
      <c r="C222" t="s">
        <v>453</v>
      </c>
      <c r="D222" t="s">
        <v>454</v>
      </c>
      <c r="E222" t="s">
        <v>19</v>
      </c>
      <c r="F222">
        <v>3</v>
      </c>
      <c r="G222">
        <v>588.05799999999999</v>
      </c>
      <c r="H222">
        <v>1809.15228</v>
      </c>
    </row>
    <row r="223" spans="1:8" hidden="1" x14ac:dyDescent="0.3">
      <c r="A223" t="s">
        <v>15</v>
      </c>
      <c r="B223" t="s">
        <v>354</v>
      </c>
      <c r="C223" t="s">
        <v>455</v>
      </c>
      <c r="D223" t="s">
        <v>456</v>
      </c>
      <c r="E223" t="s">
        <v>19</v>
      </c>
      <c r="F223">
        <v>5</v>
      </c>
      <c r="G223">
        <v>887.45166666666603</v>
      </c>
      <c r="H223">
        <v>4444.7688500000004</v>
      </c>
    </row>
    <row r="224" spans="1:8" hidden="1" x14ac:dyDescent="0.3">
      <c r="A224" t="s">
        <v>15</v>
      </c>
      <c r="B224" t="s">
        <v>354</v>
      </c>
      <c r="C224" t="s">
        <v>457</v>
      </c>
      <c r="D224" t="s">
        <v>458</v>
      </c>
      <c r="E224" t="s">
        <v>19</v>
      </c>
      <c r="F224">
        <v>4</v>
      </c>
      <c r="G224">
        <v>694.90499999999997</v>
      </c>
      <c r="H224">
        <v>2779.6182399999998</v>
      </c>
    </row>
    <row r="225" spans="1:8" hidden="1" x14ac:dyDescent="0.3">
      <c r="A225" t="s">
        <v>15</v>
      </c>
      <c r="B225" t="s">
        <v>354</v>
      </c>
      <c r="C225" t="s">
        <v>459</v>
      </c>
      <c r="D225" t="s">
        <v>460</v>
      </c>
      <c r="E225" t="s">
        <v>19</v>
      </c>
      <c r="F225">
        <v>5</v>
      </c>
      <c r="G225">
        <v>1076.9375</v>
      </c>
      <c r="H225">
        <v>5414.5</v>
      </c>
    </row>
    <row r="226" spans="1:8" hidden="1" x14ac:dyDescent="0.3">
      <c r="A226" t="s">
        <v>15</v>
      </c>
      <c r="B226" t="s">
        <v>354</v>
      </c>
      <c r="C226" t="s">
        <v>461</v>
      </c>
      <c r="D226" t="s">
        <v>462</v>
      </c>
      <c r="E226" t="s">
        <v>19</v>
      </c>
      <c r="F226">
        <v>1</v>
      </c>
      <c r="G226">
        <v>13235.4</v>
      </c>
      <c r="H226">
        <v>13235.4</v>
      </c>
    </row>
    <row r="227" spans="1:8" hidden="1" x14ac:dyDescent="0.3">
      <c r="A227" t="s">
        <v>15</v>
      </c>
      <c r="B227" t="s">
        <v>354</v>
      </c>
      <c r="C227" t="s">
        <v>463</v>
      </c>
      <c r="D227" t="s">
        <v>464</v>
      </c>
      <c r="E227" t="s">
        <v>19</v>
      </c>
      <c r="F227">
        <v>1</v>
      </c>
      <c r="G227">
        <v>2564.6889999999999</v>
      </c>
      <c r="H227">
        <v>2564.6891500000002</v>
      </c>
    </row>
    <row r="228" spans="1:8" hidden="1" x14ac:dyDescent="0.3">
      <c r="A228" t="s">
        <v>15</v>
      </c>
      <c r="B228" t="s">
        <v>354</v>
      </c>
      <c r="C228" t="s">
        <v>465</v>
      </c>
      <c r="D228" t="s">
        <v>466</v>
      </c>
      <c r="E228" t="s">
        <v>19</v>
      </c>
      <c r="F228">
        <v>2</v>
      </c>
      <c r="G228">
        <v>3906.2249999999999</v>
      </c>
      <c r="H228">
        <v>7812.45</v>
      </c>
    </row>
    <row r="229" spans="1:8" hidden="1" x14ac:dyDescent="0.3">
      <c r="A229" t="s">
        <v>15</v>
      </c>
      <c r="B229" t="s">
        <v>354</v>
      </c>
      <c r="C229" t="s">
        <v>467</v>
      </c>
      <c r="D229" t="s">
        <v>468</v>
      </c>
      <c r="E229" t="s">
        <v>19</v>
      </c>
      <c r="F229">
        <v>1</v>
      </c>
      <c r="G229">
        <v>4105.1229999999996</v>
      </c>
      <c r="H229">
        <v>4105.1232300000001</v>
      </c>
    </row>
    <row r="230" spans="1:8" hidden="1" x14ac:dyDescent="0.3">
      <c r="A230" t="s">
        <v>15</v>
      </c>
      <c r="B230" t="s">
        <v>354</v>
      </c>
      <c r="C230" t="s">
        <v>469</v>
      </c>
      <c r="D230" t="s">
        <v>470</v>
      </c>
      <c r="E230" t="s">
        <v>19</v>
      </c>
      <c r="F230">
        <v>1</v>
      </c>
      <c r="G230">
        <v>2820</v>
      </c>
      <c r="H230">
        <v>2820</v>
      </c>
    </row>
    <row r="231" spans="1:8" hidden="1" x14ac:dyDescent="0.3">
      <c r="A231" t="s">
        <v>15</v>
      </c>
      <c r="B231" t="s">
        <v>354</v>
      </c>
      <c r="C231" t="s">
        <v>471</v>
      </c>
      <c r="D231" t="s">
        <v>472</v>
      </c>
      <c r="E231" t="s">
        <v>19</v>
      </c>
      <c r="F231">
        <v>1</v>
      </c>
      <c r="G231">
        <v>4207.2269999999999</v>
      </c>
      <c r="H231">
        <v>4207.2269100000003</v>
      </c>
    </row>
    <row r="232" spans="1:8" hidden="1" x14ac:dyDescent="0.3">
      <c r="A232" t="s">
        <v>15</v>
      </c>
      <c r="B232" t="s">
        <v>354</v>
      </c>
      <c r="C232" t="s">
        <v>473</v>
      </c>
      <c r="D232" t="s">
        <v>474</v>
      </c>
      <c r="E232" t="s">
        <v>19</v>
      </c>
      <c r="F232">
        <v>1</v>
      </c>
      <c r="G232">
        <v>3187.4859999999999</v>
      </c>
      <c r="H232">
        <v>3187.4860699999999</v>
      </c>
    </row>
    <row r="233" spans="1:8" hidden="1" x14ac:dyDescent="0.3">
      <c r="A233" t="s">
        <v>15</v>
      </c>
      <c r="B233" t="s">
        <v>354</v>
      </c>
      <c r="C233" t="s">
        <v>475</v>
      </c>
      <c r="D233" t="s">
        <v>476</v>
      </c>
      <c r="E233" t="s">
        <v>19</v>
      </c>
      <c r="F233">
        <v>1</v>
      </c>
      <c r="G233">
        <v>2597.9549999999999</v>
      </c>
      <c r="H233">
        <v>2597.9549999999999</v>
      </c>
    </row>
    <row r="234" spans="1:8" hidden="1" x14ac:dyDescent="0.3">
      <c r="A234" t="s">
        <v>15</v>
      </c>
      <c r="B234" t="s">
        <v>354</v>
      </c>
      <c r="C234" t="s">
        <v>477</v>
      </c>
      <c r="D234" t="s">
        <v>478</v>
      </c>
      <c r="E234" t="s">
        <v>19</v>
      </c>
      <c r="F234">
        <v>5</v>
      </c>
      <c r="G234">
        <v>3874.864</v>
      </c>
      <c r="H234">
        <v>20098.192459999998</v>
      </c>
    </row>
    <row r="235" spans="1:8" hidden="1" x14ac:dyDescent="0.3">
      <c r="A235" t="s">
        <v>15</v>
      </c>
      <c r="B235" t="s">
        <v>354</v>
      </c>
      <c r="C235" t="s">
        <v>479</v>
      </c>
      <c r="D235" t="s">
        <v>480</v>
      </c>
      <c r="E235" t="s">
        <v>19</v>
      </c>
      <c r="F235">
        <v>25</v>
      </c>
      <c r="G235">
        <v>56</v>
      </c>
      <c r="H235">
        <v>1400</v>
      </c>
    </row>
    <row r="236" spans="1:8" hidden="1" x14ac:dyDescent="0.3">
      <c r="A236" t="s">
        <v>15</v>
      </c>
      <c r="B236" t="s">
        <v>354</v>
      </c>
      <c r="C236" t="s">
        <v>481</v>
      </c>
      <c r="D236" t="s">
        <v>482</v>
      </c>
      <c r="E236" t="s">
        <v>19</v>
      </c>
      <c r="F236">
        <v>35</v>
      </c>
      <c r="G236">
        <v>49.156500000000001</v>
      </c>
      <c r="H236">
        <v>1686.2588000000001</v>
      </c>
    </row>
    <row r="237" spans="1:8" hidden="1" x14ac:dyDescent="0.3">
      <c r="A237" t="s">
        <v>15</v>
      </c>
      <c r="B237" t="s">
        <v>354</v>
      </c>
      <c r="C237" t="s">
        <v>483</v>
      </c>
      <c r="D237" t="s">
        <v>484</v>
      </c>
      <c r="E237" t="s">
        <v>19</v>
      </c>
      <c r="F237">
        <v>2</v>
      </c>
      <c r="G237">
        <v>205</v>
      </c>
      <c r="H237">
        <v>410</v>
      </c>
    </row>
    <row r="238" spans="1:8" hidden="1" x14ac:dyDescent="0.3">
      <c r="A238" t="s">
        <v>15</v>
      </c>
      <c r="B238" t="s">
        <v>354</v>
      </c>
      <c r="C238" t="s">
        <v>485</v>
      </c>
      <c r="D238" t="s">
        <v>486</v>
      </c>
      <c r="E238" t="s">
        <v>19</v>
      </c>
      <c r="F238">
        <v>10</v>
      </c>
      <c r="G238">
        <v>80</v>
      </c>
      <c r="H238">
        <v>800</v>
      </c>
    </row>
    <row r="239" spans="1:8" hidden="1" x14ac:dyDescent="0.3">
      <c r="A239" t="s">
        <v>15</v>
      </c>
      <c r="B239" t="s">
        <v>354</v>
      </c>
      <c r="C239" t="s">
        <v>487</v>
      </c>
      <c r="D239" t="s">
        <v>488</v>
      </c>
      <c r="E239" t="s">
        <v>19</v>
      </c>
      <c r="F239">
        <v>18</v>
      </c>
      <c r="G239">
        <v>166.28800000000001</v>
      </c>
      <c r="H239">
        <v>3022.8912</v>
      </c>
    </row>
    <row r="240" spans="1:8" hidden="1" x14ac:dyDescent="0.3">
      <c r="A240" t="s">
        <v>15</v>
      </c>
      <c r="B240" t="s">
        <v>354</v>
      </c>
      <c r="C240" t="s">
        <v>489</v>
      </c>
      <c r="D240" t="s">
        <v>490</v>
      </c>
      <c r="E240" t="s">
        <v>19</v>
      </c>
      <c r="F240">
        <v>40</v>
      </c>
      <c r="G240">
        <v>1.5</v>
      </c>
      <c r="H240">
        <v>60</v>
      </c>
    </row>
    <row r="241" spans="1:8" hidden="1" x14ac:dyDescent="0.3">
      <c r="A241" t="s">
        <v>15</v>
      </c>
      <c r="B241" t="s">
        <v>354</v>
      </c>
      <c r="C241" t="s">
        <v>491</v>
      </c>
      <c r="D241" t="s">
        <v>492</v>
      </c>
      <c r="E241" t="s">
        <v>19</v>
      </c>
      <c r="F241">
        <v>21</v>
      </c>
      <c r="G241">
        <v>110.387</v>
      </c>
      <c r="H241">
        <v>2318.1228000000001</v>
      </c>
    </row>
    <row r="242" spans="1:8" hidden="1" x14ac:dyDescent="0.3">
      <c r="A242" t="s">
        <v>15</v>
      </c>
      <c r="B242" t="s">
        <v>354</v>
      </c>
      <c r="C242" t="s">
        <v>493</v>
      </c>
      <c r="D242" t="s">
        <v>494</v>
      </c>
      <c r="E242" t="s">
        <v>19</v>
      </c>
      <c r="F242">
        <v>10</v>
      </c>
      <c r="G242">
        <v>21.382000000000001</v>
      </c>
      <c r="H242">
        <v>213.82249999999999</v>
      </c>
    </row>
    <row r="243" spans="1:8" hidden="1" x14ac:dyDescent="0.3">
      <c r="A243" t="s">
        <v>15</v>
      </c>
      <c r="B243" t="s">
        <v>354</v>
      </c>
      <c r="C243" t="s">
        <v>495</v>
      </c>
      <c r="D243" t="s">
        <v>496</v>
      </c>
      <c r="E243" t="s">
        <v>19</v>
      </c>
      <c r="F243">
        <v>20</v>
      </c>
      <c r="G243">
        <v>3.9820000000000002</v>
      </c>
      <c r="H243">
        <v>79.644999999999996</v>
      </c>
    </row>
    <row r="244" spans="1:8" hidden="1" x14ac:dyDescent="0.3">
      <c r="A244" t="s">
        <v>15</v>
      </c>
      <c r="B244" t="s">
        <v>354</v>
      </c>
      <c r="C244" t="s">
        <v>497</v>
      </c>
      <c r="D244" t="s">
        <v>498</v>
      </c>
      <c r="E244" t="s">
        <v>19</v>
      </c>
      <c r="F244">
        <v>12</v>
      </c>
      <c r="G244">
        <v>28.786999999999999</v>
      </c>
      <c r="H244">
        <v>345.44508000000002</v>
      </c>
    </row>
    <row r="245" spans="1:8" hidden="1" x14ac:dyDescent="0.3">
      <c r="A245" t="s">
        <v>15</v>
      </c>
      <c r="B245" t="s">
        <v>354</v>
      </c>
      <c r="C245" t="s">
        <v>499</v>
      </c>
      <c r="D245" t="s">
        <v>500</v>
      </c>
      <c r="E245" t="s">
        <v>19</v>
      </c>
      <c r="F245">
        <v>17</v>
      </c>
      <c r="G245">
        <v>88.998000000000005</v>
      </c>
      <c r="H245">
        <v>1542.24</v>
      </c>
    </row>
    <row r="246" spans="1:8" hidden="1" x14ac:dyDescent="0.3">
      <c r="A246" t="s">
        <v>15</v>
      </c>
      <c r="B246" t="s">
        <v>354</v>
      </c>
      <c r="C246" t="s">
        <v>501</v>
      </c>
      <c r="D246" t="s">
        <v>502</v>
      </c>
      <c r="E246" t="s">
        <v>19</v>
      </c>
      <c r="F246">
        <v>9</v>
      </c>
      <c r="G246">
        <v>70.5</v>
      </c>
      <c r="H246">
        <v>634.5</v>
      </c>
    </row>
    <row r="247" spans="1:8" hidden="1" x14ac:dyDescent="0.3">
      <c r="A247" t="s">
        <v>15</v>
      </c>
      <c r="B247" t="s">
        <v>354</v>
      </c>
      <c r="C247" t="s">
        <v>503</v>
      </c>
      <c r="D247" t="s">
        <v>504</v>
      </c>
      <c r="E247" t="s">
        <v>19</v>
      </c>
      <c r="F247">
        <v>17</v>
      </c>
      <c r="G247">
        <v>53.76</v>
      </c>
      <c r="H247">
        <v>913.92</v>
      </c>
    </row>
    <row r="248" spans="1:8" hidden="1" x14ac:dyDescent="0.3">
      <c r="A248" t="s">
        <v>15</v>
      </c>
      <c r="B248" t="s">
        <v>354</v>
      </c>
      <c r="C248" t="s">
        <v>505</v>
      </c>
      <c r="D248" t="s">
        <v>506</v>
      </c>
      <c r="E248" t="s">
        <v>19</v>
      </c>
      <c r="F248">
        <v>42</v>
      </c>
      <c r="G248">
        <v>50.458571428571403</v>
      </c>
      <c r="H248">
        <v>2118.6735600000002</v>
      </c>
    </row>
    <row r="249" spans="1:8" hidden="1" x14ac:dyDescent="0.3">
      <c r="A249" t="s">
        <v>15</v>
      </c>
      <c r="B249" t="s">
        <v>354</v>
      </c>
      <c r="C249" t="s">
        <v>507</v>
      </c>
      <c r="D249" t="s">
        <v>508</v>
      </c>
      <c r="E249" t="s">
        <v>19</v>
      </c>
      <c r="F249">
        <v>9</v>
      </c>
      <c r="G249">
        <v>120.3</v>
      </c>
      <c r="H249">
        <v>1076.7</v>
      </c>
    </row>
    <row r="250" spans="1:8" hidden="1" x14ac:dyDescent="0.3">
      <c r="A250" t="s">
        <v>15</v>
      </c>
      <c r="B250" t="s">
        <v>354</v>
      </c>
      <c r="C250" t="s">
        <v>509</v>
      </c>
      <c r="D250" t="s">
        <v>510</v>
      </c>
      <c r="E250" t="s">
        <v>19</v>
      </c>
      <c r="F250">
        <v>3</v>
      </c>
      <c r="G250">
        <v>145.32</v>
      </c>
      <c r="H250">
        <v>435.96</v>
      </c>
    </row>
    <row r="251" spans="1:8" hidden="1" x14ac:dyDescent="0.3">
      <c r="A251" t="s">
        <v>15</v>
      </c>
      <c r="B251" t="s">
        <v>354</v>
      </c>
      <c r="C251" t="s">
        <v>511</v>
      </c>
      <c r="D251" t="s">
        <v>512</v>
      </c>
      <c r="E251" t="s">
        <v>19</v>
      </c>
      <c r="F251">
        <v>1</v>
      </c>
      <c r="G251">
        <v>2750</v>
      </c>
      <c r="H251">
        <v>2750</v>
      </c>
    </row>
    <row r="252" spans="1:8" hidden="1" x14ac:dyDescent="0.3">
      <c r="A252" t="s">
        <v>15</v>
      </c>
      <c r="B252" t="s">
        <v>354</v>
      </c>
      <c r="C252" t="s">
        <v>513</v>
      </c>
      <c r="D252" t="s">
        <v>514</v>
      </c>
      <c r="E252" t="s">
        <v>19</v>
      </c>
      <c r="F252">
        <v>50</v>
      </c>
      <c r="G252">
        <v>8.6760000000000002</v>
      </c>
      <c r="H252">
        <v>433.81133</v>
      </c>
    </row>
    <row r="253" spans="1:8" hidden="1" x14ac:dyDescent="0.3">
      <c r="A253" t="s">
        <v>15</v>
      </c>
      <c r="B253" t="s">
        <v>354</v>
      </c>
      <c r="C253" t="s">
        <v>515</v>
      </c>
      <c r="D253" t="s">
        <v>516</v>
      </c>
      <c r="E253" t="s">
        <v>19</v>
      </c>
      <c r="F253">
        <v>30</v>
      </c>
      <c r="G253">
        <v>19.216999999999999</v>
      </c>
      <c r="H253">
        <v>576.50298999999995</v>
      </c>
    </row>
    <row r="254" spans="1:8" hidden="1" x14ac:dyDescent="0.3">
      <c r="A254" t="s">
        <v>15</v>
      </c>
      <c r="B254" t="s">
        <v>354</v>
      </c>
      <c r="C254" t="s">
        <v>517</v>
      </c>
      <c r="D254" t="s">
        <v>518</v>
      </c>
      <c r="E254" t="s">
        <v>19</v>
      </c>
      <c r="F254">
        <v>20</v>
      </c>
      <c r="G254">
        <v>34.633000000000003</v>
      </c>
      <c r="H254">
        <v>692.66404</v>
      </c>
    </row>
    <row r="255" spans="1:8" hidden="1" x14ac:dyDescent="0.3">
      <c r="A255" t="s">
        <v>15</v>
      </c>
      <c r="B255" t="s">
        <v>354</v>
      </c>
      <c r="C255" t="s">
        <v>519</v>
      </c>
      <c r="D255" t="s">
        <v>520</v>
      </c>
      <c r="E255" t="s">
        <v>19</v>
      </c>
      <c r="F255">
        <v>60</v>
      </c>
      <c r="G255">
        <v>6.34</v>
      </c>
      <c r="H255">
        <v>380.4</v>
      </c>
    </row>
    <row r="256" spans="1:8" hidden="1" x14ac:dyDescent="0.3">
      <c r="A256" t="s">
        <v>15</v>
      </c>
      <c r="B256" t="s">
        <v>354</v>
      </c>
      <c r="C256" t="s">
        <v>521</v>
      </c>
      <c r="D256" t="s">
        <v>522</v>
      </c>
      <c r="E256" t="s">
        <v>19</v>
      </c>
      <c r="F256">
        <v>15</v>
      </c>
      <c r="G256">
        <v>56.503</v>
      </c>
      <c r="H256">
        <v>847.54543999999999</v>
      </c>
    </row>
    <row r="257" spans="1:8" hidden="1" x14ac:dyDescent="0.3">
      <c r="A257" t="s">
        <v>15</v>
      </c>
      <c r="B257" t="s">
        <v>354</v>
      </c>
      <c r="C257" t="s">
        <v>523</v>
      </c>
      <c r="D257" t="s">
        <v>524</v>
      </c>
      <c r="E257" t="s">
        <v>19</v>
      </c>
      <c r="F257">
        <v>20</v>
      </c>
      <c r="G257">
        <v>57</v>
      </c>
      <c r="H257">
        <v>1140</v>
      </c>
    </row>
    <row r="258" spans="1:8" hidden="1" x14ac:dyDescent="0.3">
      <c r="A258" t="s">
        <v>15</v>
      </c>
      <c r="B258" t="s">
        <v>354</v>
      </c>
      <c r="C258" t="s">
        <v>525</v>
      </c>
      <c r="D258" t="s">
        <v>526</v>
      </c>
      <c r="E258" t="s">
        <v>19</v>
      </c>
      <c r="F258">
        <v>80</v>
      </c>
      <c r="G258">
        <v>10.541</v>
      </c>
      <c r="H258">
        <v>843.24318000000005</v>
      </c>
    </row>
    <row r="259" spans="1:8" hidden="1" x14ac:dyDescent="0.3">
      <c r="A259" t="s">
        <v>15</v>
      </c>
      <c r="B259" t="s">
        <v>354</v>
      </c>
      <c r="C259" t="s">
        <v>527</v>
      </c>
      <c r="D259" t="s">
        <v>528</v>
      </c>
      <c r="E259" t="s">
        <v>19</v>
      </c>
      <c r="F259">
        <v>20</v>
      </c>
      <c r="G259">
        <v>101</v>
      </c>
      <c r="H259">
        <v>2020</v>
      </c>
    </row>
    <row r="260" spans="1:8" hidden="1" x14ac:dyDescent="0.3">
      <c r="A260" t="s">
        <v>15</v>
      </c>
      <c r="B260" t="s">
        <v>354</v>
      </c>
      <c r="C260" t="s">
        <v>529</v>
      </c>
      <c r="D260" t="s">
        <v>530</v>
      </c>
      <c r="E260" t="s">
        <v>19</v>
      </c>
      <c r="F260">
        <v>40</v>
      </c>
      <c r="G260">
        <v>14.771000000000001</v>
      </c>
      <c r="H260">
        <v>590.84400000000005</v>
      </c>
    </row>
    <row r="261" spans="1:8" hidden="1" x14ac:dyDescent="0.3">
      <c r="A261" t="s">
        <v>15</v>
      </c>
      <c r="B261" t="s">
        <v>354</v>
      </c>
      <c r="C261" t="s">
        <v>531</v>
      </c>
      <c r="D261" t="s">
        <v>532</v>
      </c>
      <c r="E261" t="s">
        <v>533</v>
      </c>
      <c r="F261">
        <v>54</v>
      </c>
      <c r="G261">
        <v>100</v>
      </c>
      <c r="H261">
        <v>5400</v>
      </c>
    </row>
    <row r="262" spans="1:8" hidden="1" x14ac:dyDescent="0.3">
      <c r="A262" t="s">
        <v>15</v>
      </c>
      <c r="B262" t="s">
        <v>354</v>
      </c>
      <c r="C262" t="s">
        <v>245</v>
      </c>
      <c r="D262" t="s">
        <v>246</v>
      </c>
      <c r="E262" t="s">
        <v>19</v>
      </c>
      <c r="F262">
        <v>460</v>
      </c>
      <c r="G262">
        <v>7.5223000000000004</v>
      </c>
      <c r="H262">
        <v>3480.50596</v>
      </c>
    </row>
    <row r="263" spans="1:8" hidden="1" x14ac:dyDescent="0.3">
      <c r="A263" t="s">
        <v>15</v>
      </c>
      <c r="B263" t="s">
        <v>354</v>
      </c>
      <c r="C263" t="s">
        <v>534</v>
      </c>
      <c r="D263" t="s">
        <v>535</v>
      </c>
      <c r="E263" t="s">
        <v>19</v>
      </c>
      <c r="F263">
        <v>3</v>
      </c>
      <c r="G263">
        <v>15</v>
      </c>
      <c r="H263">
        <v>45</v>
      </c>
    </row>
    <row r="264" spans="1:8" hidden="1" x14ac:dyDescent="0.3">
      <c r="A264" t="s">
        <v>15</v>
      </c>
      <c r="B264" t="s">
        <v>354</v>
      </c>
      <c r="C264" t="s">
        <v>536</v>
      </c>
      <c r="D264" t="s">
        <v>537</v>
      </c>
      <c r="E264" t="s">
        <v>19</v>
      </c>
      <c r="F264">
        <v>100</v>
      </c>
      <c r="G264">
        <v>24</v>
      </c>
      <c r="H264">
        <v>2400</v>
      </c>
    </row>
    <row r="265" spans="1:8" hidden="1" x14ac:dyDescent="0.3">
      <c r="A265" t="s">
        <v>15</v>
      </c>
      <c r="B265" t="s">
        <v>354</v>
      </c>
      <c r="C265" t="s">
        <v>538</v>
      </c>
      <c r="D265" t="s">
        <v>539</v>
      </c>
      <c r="E265" t="s">
        <v>19</v>
      </c>
      <c r="F265">
        <v>1</v>
      </c>
      <c r="G265">
        <v>25</v>
      </c>
      <c r="H265">
        <v>25</v>
      </c>
    </row>
    <row r="266" spans="1:8" hidden="1" x14ac:dyDescent="0.3">
      <c r="A266" t="s">
        <v>15</v>
      </c>
      <c r="B266" t="s">
        <v>354</v>
      </c>
      <c r="C266" t="s">
        <v>540</v>
      </c>
      <c r="D266" t="s">
        <v>541</v>
      </c>
      <c r="E266" t="s">
        <v>233</v>
      </c>
      <c r="F266">
        <v>1.4</v>
      </c>
      <c r="G266">
        <v>1198.3610000000001</v>
      </c>
      <c r="H266">
        <v>1677.7050200000001</v>
      </c>
    </row>
    <row r="267" spans="1:8" hidden="1" x14ac:dyDescent="0.3">
      <c r="A267" t="s">
        <v>15</v>
      </c>
      <c r="B267" t="s">
        <v>354</v>
      </c>
      <c r="C267" t="s">
        <v>542</v>
      </c>
      <c r="D267" t="s">
        <v>543</v>
      </c>
      <c r="E267" t="s">
        <v>293</v>
      </c>
      <c r="F267">
        <v>4</v>
      </c>
      <c r="G267">
        <v>235.833</v>
      </c>
      <c r="H267">
        <v>943.33331999999996</v>
      </c>
    </row>
    <row r="268" spans="1:8" hidden="1" x14ac:dyDescent="0.3">
      <c r="A268" t="s">
        <v>15</v>
      </c>
      <c r="B268" t="s">
        <v>354</v>
      </c>
      <c r="C268" t="s">
        <v>544</v>
      </c>
      <c r="D268" t="s">
        <v>545</v>
      </c>
      <c r="E268" t="s">
        <v>19</v>
      </c>
      <c r="F268">
        <v>11</v>
      </c>
      <c r="G268">
        <v>3.25</v>
      </c>
      <c r="H268">
        <v>35.5</v>
      </c>
    </row>
    <row r="269" spans="1:8" hidden="1" x14ac:dyDescent="0.3">
      <c r="A269" t="s">
        <v>15</v>
      </c>
      <c r="B269" t="s">
        <v>354</v>
      </c>
      <c r="C269" t="s">
        <v>546</v>
      </c>
      <c r="D269" t="s">
        <v>547</v>
      </c>
      <c r="E269" t="s">
        <v>19</v>
      </c>
      <c r="F269">
        <v>6</v>
      </c>
      <c r="G269">
        <v>4.5999999999999996</v>
      </c>
      <c r="H269">
        <v>27.6</v>
      </c>
    </row>
    <row r="270" spans="1:8" hidden="1" x14ac:dyDescent="0.3">
      <c r="A270" t="s">
        <v>15</v>
      </c>
      <c r="B270" t="s">
        <v>354</v>
      </c>
      <c r="C270" t="s">
        <v>548</v>
      </c>
      <c r="D270" t="s">
        <v>549</v>
      </c>
      <c r="E270" t="s">
        <v>19</v>
      </c>
      <c r="F270">
        <v>8</v>
      </c>
      <c r="G270">
        <v>5.2</v>
      </c>
      <c r="H270">
        <v>41.6</v>
      </c>
    </row>
    <row r="271" spans="1:8" hidden="1" x14ac:dyDescent="0.3">
      <c r="A271" t="s">
        <v>15</v>
      </c>
      <c r="B271" t="s">
        <v>354</v>
      </c>
      <c r="C271" t="s">
        <v>550</v>
      </c>
      <c r="D271" t="s">
        <v>551</v>
      </c>
      <c r="E271" t="s">
        <v>19</v>
      </c>
      <c r="F271">
        <v>2</v>
      </c>
      <c r="G271">
        <v>27660.210999999999</v>
      </c>
      <c r="H271">
        <v>55320.42254</v>
      </c>
    </row>
    <row r="272" spans="1:8" hidden="1" x14ac:dyDescent="0.3">
      <c r="A272" t="s">
        <v>15</v>
      </c>
      <c r="B272" t="s">
        <v>354</v>
      </c>
      <c r="C272" t="s">
        <v>552</v>
      </c>
      <c r="D272" t="s">
        <v>553</v>
      </c>
      <c r="E272" t="s">
        <v>19</v>
      </c>
      <c r="F272">
        <v>1</v>
      </c>
      <c r="G272">
        <v>10525.512000000001</v>
      </c>
      <c r="H272">
        <v>10525.51175</v>
      </c>
    </row>
    <row r="273" spans="1:8" hidden="1" x14ac:dyDescent="0.3">
      <c r="A273" t="s">
        <v>15</v>
      </c>
      <c r="B273" t="s">
        <v>354</v>
      </c>
      <c r="C273" t="s">
        <v>554</v>
      </c>
      <c r="D273" t="s">
        <v>555</v>
      </c>
      <c r="E273" t="s">
        <v>19</v>
      </c>
      <c r="F273">
        <v>2</v>
      </c>
      <c r="G273">
        <v>5367.2984999999999</v>
      </c>
      <c r="H273">
        <v>10734.597019999999</v>
      </c>
    </row>
    <row r="274" spans="1:8" hidden="1" x14ac:dyDescent="0.3">
      <c r="A274" t="s">
        <v>15</v>
      </c>
      <c r="B274" t="s">
        <v>354</v>
      </c>
      <c r="C274" t="s">
        <v>556</v>
      </c>
      <c r="D274" t="s">
        <v>557</v>
      </c>
      <c r="E274" t="s">
        <v>19</v>
      </c>
      <c r="F274">
        <v>2</v>
      </c>
      <c r="G274">
        <v>2995.7015000000001</v>
      </c>
      <c r="H274">
        <v>5991.4029799999998</v>
      </c>
    </row>
    <row r="275" spans="1:8" hidden="1" x14ac:dyDescent="0.3">
      <c r="A275" t="s">
        <v>15</v>
      </c>
      <c r="B275" t="s">
        <v>354</v>
      </c>
      <c r="C275" t="s">
        <v>558</v>
      </c>
      <c r="D275" t="s">
        <v>559</v>
      </c>
      <c r="E275" t="s">
        <v>19</v>
      </c>
      <c r="F275">
        <v>1</v>
      </c>
      <c r="G275">
        <v>800</v>
      </c>
      <c r="H275">
        <v>800</v>
      </c>
    </row>
    <row r="276" spans="1:8" hidden="1" x14ac:dyDescent="0.3">
      <c r="A276" t="s">
        <v>15</v>
      </c>
      <c r="B276" t="s">
        <v>354</v>
      </c>
      <c r="C276" t="s">
        <v>560</v>
      </c>
      <c r="D276" t="s">
        <v>561</v>
      </c>
      <c r="E276" t="s">
        <v>19</v>
      </c>
      <c r="F276">
        <v>7</v>
      </c>
      <c r="G276">
        <v>1510.6666666666599</v>
      </c>
      <c r="H276">
        <v>10496.00246</v>
      </c>
    </row>
    <row r="277" spans="1:8" hidden="1" x14ac:dyDescent="0.3">
      <c r="A277" t="s">
        <v>15</v>
      </c>
      <c r="B277" t="s">
        <v>354</v>
      </c>
      <c r="C277" t="s">
        <v>562</v>
      </c>
      <c r="D277" t="s">
        <v>563</v>
      </c>
      <c r="E277" t="s">
        <v>19</v>
      </c>
      <c r="F277">
        <v>1</v>
      </c>
      <c r="G277">
        <v>17279.218000000001</v>
      </c>
      <c r="H277">
        <v>17279.218250000002</v>
      </c>
    </row>
    <row r="278" spans="1:8" hidden="1" x14ac:dyDescent="0.3">
      <c r="A278" t="s">
        <v>15</v>
      </c>
      <c r="B278" t="s">
        <v>354</v>
      </c>
      <c r="C278" t="s">
        <v>564</v>
      </c>
      <c r="D278" t="s">
        <v>565</v>
      </c>
      <c r="E278" t="s">
        <v>19</v>
      </c>
      <c r="F278">
        <v>1</v>
      </c>
      <c r="G278">
        <v>8562.7720000000008</v>
      </c>
      <c r="H278">
        <v>8562.7720800000006</v>
      </c>
    </row>
    <row r="279" spans="1:8" hidden="1" x14ac:dyDescent="0.3">
      <c r="A279" t="s">
        <v>15</v>
      </c>
      <c r="B279" t="s">
        <v>354</v>
      </c>
      <c r="C279" t="s">
        <v>566</v>
      </c>
      <c r="D279" t="s">
        <v>567</v>
      </c>
      <c r="E279" t="s">
        <v>19</v>
      </c>
      <c r="F279">
        <v>1</v>
      </c>
      <c r="G279">
        <v>6718.4219999999996</v>
      </c>
      <c r="H279">
        <v>6718.4221200000002</v>
      </c>
    </row>
    <row r="280" spans="1:8" hidden="1" x14ac:dyDescent="0.3">
      <c r="A280" t="s">
        <v>15</v>
      </c>
      <c r="B280" t="s">
        <v>354</v>
      </c>
      <c r="C280" t="s">
        <v>568</v>
      </c>
      <c r="D280" t="s">
        <v>569</v>
      </c>
      <c r="E280" t="s">
        <v>19</v>
      </c>
      <c r="F280">
        <v>6</v>
      </c>
      <c r="G280">
        <v>5067.3999999999996</v>
      </c>
      <c r="H280">
        <v>30404.402880000001</v>
      </c>
    </row>
    <row r="281" spans="1:8" hidden="1" x14ac:dyDescent="0.3">
      <c r="A281" t="s">
        <v>15</v>
      </c>
      <c r="B281" t="s">
        <v>354</v>
      </c>
      <c r="C281" t="s">
        <v>570</v>
      </c>
      <c r="D281" t="s">
        <v>571</v>
      </c>
      <c r="E281" t="s">
        <v>19</v>
      </c>
      <c r="F281">
        <v>3</v>
      </c>
      <c r="G281">
        <v>3494.8229999999999</v>
      </c>
      <c r="H281">
        <v>10484.46825</v>
      </c>
    </row>
    <row r="282" spans="1:8" hidden="1" x14ac:dyDescent="0.3">
      <c r="A282" t="s">
        <v>15</v>
      </c>
      <c r="B282" t="s">
        <v>354</v>
      </c>
      <c r="C282" t="s">
        <v>572</v>
      </c>
      <c r="D282" t="s">
        <v>573</v>
      </c>
      <c r="E282" t="s">
        <v>19</v>
      </c>
      <c r="F282">
        <v>2</v>
      </c>
      <c r="G282">
        <v>559.96</v>
      </c>
      <c r="H282">
        <v>1119.92</v>
      </c>
    </row>
    <row r="283" spans="1:8" hidden="1" x14ac:dyDescent="0.3">
      <c r="A283" t="s">
        <v>15</v>
      </c>
      <c r="B283" t="s">
        <v>354</v>
      </c>
      <c r="C283" t="s">
        <v>574</v>
      </c>
      <c r="D283" t="s">
        <v>575</v>
      </c>
      <c r="E283" t="s">
        <v>19</v>
      </c>
      <c r="F283">
        <v>3</v>
      </c>
      <c r="G283">
        <v>3494.8229999999999</v>
      </c>
      <c r="H283">
        <v>10484.46825</v>
      </c>
    </row>
    <row r="284" spans="1:8" hidden="1" x14ac:dyDescent="0.3">
      <c r="A284" t="s">
        <v>15</v>
      </c>
      <c r="B284" t="s">
        <v>354</v>
      </c>
      <c r="C284" t="s">
        <v>576</v>
      </c>
      <c r="D284" t="s">
        <v>577</v>
      </c>
      <c r="E284" t="s">
        <v>19</v>
      </c>
      <c r="F284">
        <v>1</v>
      </c>
      <c r="G284">
        <v>16934.787</v>
      </c>
      <c r="H284">
        <v>16934.787069999998</v>
      </c>
    </row>
    <row r="285" spans="1:8" hidden="1" x14ac:dyDescent="0.3">
      <c r="A285" t="s">
        <v>15</v>
      </c>
      <c r="B285" t="s">
        <v>354</v>
      </c>
      <c r="C285" t="s">
        <v>578</v>
      </c>
      <c r="D285" t="s">
        <v>579</v>
      </c>
      <c r="E285" t="s">
        <v>19</v>
      </c>
      <c r="F285">
        <v>2</v>
      </c>
      <c r="G285">
        <v>450</v>
      </c>
      <c r="H285">
        <v>900</v>
      </c>
    </row>
    <row r="286" spans="1:8" hidden="1" x14ac:dyDescent="0.3">
      <c r="A286" t="s">
        <v>15</v>
      </c>
      <c r="B286" t="s">
        <v>354</v>
      </c>
      <c r="C286" t="s">
        <v>580</v>
      </c>
      <c r="D286" t="s">
        <v>581</v>
      </c>
      <c r="E286" t="s">
        <v>19</v>
      </c>
      <c r="F286">
        <v>1</v>
      </c>
      <c r="G286">
        <v>5597.2359999999999</v>
      </c>
      <c r="H286">
        <v>5597.2364500000003</v>
      </c>
    </row>
    <row r="287" spans="1:8" hidden="1" x14ac:dyDescent="0.3">
      <c r="A287" t="s">
        <v>15</v>
      </c>
      <c r="B287" t="s">
        <v>354</v>
      </c>
      <c r="C287" t="s">
        <v>582</v>
      </c>
      <c r="D287" t="s">
        <v>583</v>
      </c>
      <c r="E287" t="s">
        <v>19</v>
      </c>
      <c r="F287">
        <v>1</v>
      </c>
      <c r="G287">
        <v>11829.6</v>
      </c>
      <c r="H287">
        <v>11829.6</v>
      </c>
    </row>
    <row r="288" spans="1:8" hidden="1" x14ac:dyDescent="0.3">
      <c r="A288" t="s">
        <v>15</v>
      </c>
      <c r="B288" t="s">
        <v>354</v>
      </c>
      <c r="C288" t="s">
        <v>584</v>
      </c>
      <c r="D288" t="s">
        <v>585</v>
      </c>
      <c r="E288" t="s">
        <v>19</v>
      </c>
      <c r="F288">
        <v>2</v>
      </c>
      <c r="G288">
        <v>19333.889500000001</v>
      </c>
      <c r="H288">
        <v>38667.779020000002</v>
      </c>
    </row>
    <row r="289" spans="1:8" hidden="1" x14ac:dyDescent="0.3">
      <c r="A289" t="s">
        <v>15</v>
      </c>
      <c r="B289" t="s">
        <v>354</v>
      </c>
      <c r="C289" t="s">
        <v>586</v>
      </c>
      <c r="D289" t="s">
        <v>587</v>
      </c>
      <c r="E289" t="s">
        <v>19</v>
      </c>
      <c r="F289">
        <v>11</v>
      </c>
      <c r="G289">
        <v>689</v>
      </c>
      <c r="H289">
        <v>7579</v>
      </c>
    </row>
    <row r="290" spans="1:8" hidden="1" x14ac:dyDescent="0.3">
      <c r="A290" t="s">
        <v>15</v>
      </c>
      <c r="B290" t="s">
        <v>354</v>
      </c>
      <c r="C290" t="s">
        <v>588</v>
      </c>
      <c r="D290" t="s">
        <v>589</v>
      </c>
      <c r="E290" t="s">
        <v>19</v>
      </c>
      <c r="F290">
        <v>4</v>
      </c>
      <c r="G290">
        <v>345</v>
      </c>
      <c r="H290">
        <v>1380</v>
      </c>
    </row>
    <row r="291" spans="1:8" hidden="1" x14ac:dyDescent="0.3">
      <c r="A291" t="s">
        <v>15</v>
      </c>
      <c r="B291" t="s">
        <v>354</v>
      </c>
      <c r="C291" t="s">
        <v>590</v>
      </c>
      <c r="D291" t="s">
        <v>591</v>
      </c>
      <c r="E291" t="s">
        <v>19</v>
      </c>
      <c r="F291">
        <v>1</v>
      </c>
      <c r="G291">
        <v>585.9</v>
      </c>
      <c r="H291">
        <v>585.9</v>
      </c>
    </row>
    <row r="292" spans="1:8" hidden="1" x14ac:dyDescent="0.3">
      <c r="A292" t="s">
        <v>15</v>
      </c>
      <c r="B292" t="s">
        <v>354</v>
      </c>
      <c r="C292" t="s">
        <v>592</v>
      </c>
      <c r="D292" t="s">
        <v>593</v>
      </c>
      <c r="E292" t="s">
        <v>19</v>
      </c>
      <c r="F292">
        <v>1</v>
      </c>
      <c r="G292">
        <v>4638</v>
      </c>
      <c r="H292">
        <v>4638</v>
      </c>
    </row>
    <row r="293" spans="1:8" hidden="1" x14ac:dyDescent="0.3">
      <c r="A293" t="s">
        <v>15</v>
      </c>
      <c r="B293" t="s">
        <v>354</v>
      </c>
      <c r="C293" t="s">
        <v>594</v>
      </c>
      <c r="D293" t="s">
        <v>595</v>
      </c>
      <c r="E293" t="s">
        <v>19</v>
      </c>
      <c r="F293">
        <v>2</v>
      </c>
      <c r="G293">
        <v>79.8</v>
      </c>
      <c r="H293">
        <v>159.6</v>
      </c>
    </row>
    <row r="294" spans="1:8" hidden="1" x14ac:dyDescent="0.3">
      <c r="A294" t="s">
        <v>15</v>
      </c>
      <c r="B294" t="s">
        <v>354</v>
      </c>
      <c r="C294" t="s">
        <v>596</v>
      </c>
      <c r="D294" t="s">
        <v>597</v>
      </c>
      <c r="E294" t="s">
        <v>19</v>
      </c>
      <c r="F294">
        <v>8</v>
      </c>
      <c r="G294">
        <v>58.552</v>
      </c>
      <c r="H294">
        <v>468.41264000000001</v>
      </c>
    </row>
    <row r="295" spans="1:8" hidden="1" x14ac:dyDescent="0.3">
      <c r="A295" t="s">
        <v>15</v>
      </c>
      <c r="B295" t="s">
        <v>354</v>
      </c>
      <c r="C295" t="s">
        <v>598</v>
      </c>
      <c r="D295" t="s">
        <v>599</v>
      </c>
      <c r="E295" t="s">
        <v>19</v>
      </c>
      <c r="F295">
        <v>2</v>
      </c>
      <c r="G295">
        <v>1546.6</v>
      </c>
      <c r="H295">
        <v>3093.2</v>
      </c>
    </row>
    <row r="296" spans="1:8" hidden="1" x14ac:dyDescent="0.3">
      <c r="A296" t="s">
        <v>15</v>
      </c>
      <c r="B296" t="s">
        <v>354</v>
      </c>
      <c r="C296" t="s">
        <v>600</v>
      </c>
      <c r="D296" t="s">
        <v>601</v>
      </c>
      <c r="E296" t="s">
        <v>602</v>
      </c>
      <c r="F296">
        <v>2</v>
      </c>
      <c r="G296">
        <v>1458</v>
      </c>
      <c r="H296">
        <v>2916</v>
      </c>
    </row>
    <row r="297" spans="1:8" hidden="1" x14ac:dyDescent="0.3">
      <c r="A297" t="s">
        <v>15</v>
      </c>
      <c r="B297" t="s">
        <v>354</v>
      </c>
      <c r="C297" t="s">
        <v>603</v>
      </c>
      <c r="D297" t="s">
        <v>604</v>
      </c>
      <c r="E297" t="s">
        <v>602</v>
      </c>
      <c r="F297">
        <v>1</v>
      </c>
      <c r="G297">
        <v>1433.173</v>
      </c>
      <c r="H297">
        <v>1433.1733300000001</v>
      </c>
    </row>
    <row r="298" spans="1:8" hidden="1" x14ac:dyDescent="0.3">
      <c r="A298" t="s">
        <v>15</v>
      </c>
      <c r="B298" t="s">
        <v>354</v>
      </c>
      <c r="C298" t="s">
        <v>605</v>
      </c>
      <c r="D298" t="s">
        <v>606</v>
      </c>
      <c r="E298" t="s">
        <v>602</v>
      </c>
      <c r="F298">
        <v>1</v>
      </c>
      <c r="G298">
        <v>15532.598</v>
      </c>
      <c r="H298">
        <v>15532.598190000001</v>
      </c>
    </row>
    <row r="299" spans="1:8" hidden="1" x14ac:dyDescent="0.3">
      <c r="A299" t="s">
        <v>15</v>
      </c>
      <c r="B299" t="s">
        <v>354</v>
      </c>
      <c r="C299" t="s">
        <v>607</v>
      </c>
      <c r="D299" t="s">
        <v>608</v>
      </c>
      <c r="E299" t="s">
        <v>602</v>
      </c>
      <c r="F299">
        <v>2</v>
      </c>
      <c r="G299">
        <v>3950.0830000000001</v>
      </c>
      <c r="H299">
        <v>7900.1651400000001</v>
      </c>
    </row>
    <row r="300" spans="1:8" hidden="1" x14ac:dyDescent="0.3">
      <c r="A300" t="s">
        <v>15</v>
      </c>
      <c r="B300" t="s">
        <v>354</v>
      </c>
      <c r="C300" t="s">
        <v>609</v>
      </c>
      <c r="D300" t="s">
        <v>610</v>
      </c>
      <c r="E300" t="s">
        <v>193</v>
      </c>
      <c r="F300">
        <v>400</v>
      </c>
      <c r="G300">
        <v>126.3</v>
      </c>
      <c r="H300">
        <v>51860</v>
      </c>
    </row>
    <row r="301" spans="1:8" hidden="1" x14ac:dyDescent="0.3">
      <c r="A301" t="s">
        <v>15</v>
      </c>
      <c r="B301" t="s">
        <v>354</v>
      </c>
      <c r="C301" t="s">
        <v>611</v>
      </c>
      <c r="D301" t="s">
        <v>612</v>
      </c>
      <c r="E301" t="s">
        <v>193</v>
      </c>
      <c r="F301">
        <v>120</v>
      </c>
      <c r="G301">
        <v>1382.9849999999999</v>
      </c>
      <c r="H301">
        <v>165958.158</v>
      </c>
    </row>
    <row r="302" spans="1:8" hidden="1" x14ac:dyDescent="0.3">
      <c r="A302" t="s">
        <v>15</v>
      </c>
      <c r="B302" t="s">
        <v>354</v>
      </c>
      <c r="C302" t="s">
        <v>613</v>
      </c>
      <c r="D302" t="s">
        <v>614</v>
      </c>
      <c r="E302" t="s">
        <v>193</v>
      </c>
      <c r="F302">
        <v>200</v>
      </c>
      <c r="G302">
        <v>88.75</v>
      </c>
      <c r="H302">
        <v>17750</v>
      </c>
    </row>
    <row r="303" spans="1:8" hidden="1" x14ac:dyDescent="0.3">
      <c r="A303" t="s">
        <v>15</v>
      </c>
      <c r="B303" t="s">
        <v>354</v>
      </c>
      <c r="C303" t="s">
        <v>615</v>
      </c>
      <c r="D303" t="s">
        <v>616</v>
      </c>
      <c r="E303" t="s">
        <v>193</v>
      </c>
      <c r="F303">
        <v>70</v>
      </c>
      <c r="G303">
        <v>76.843000000000004</v>
      </c>
      <c r="H303">
        <v>5379.0181000000002</v>
      </c>
    </row>
    <row r="304" spans="1:8" hidden="1" x14ac:dyDescent="0.3">
      <c r="A304" t="s">
        <v>15</v>
      </c>
      <c r="B304" t="s">
        <v>354</v>
      </c>
      <c r="C304" t="s">
        <v>617</v>
      </c>
      <c r="D304" t="s">
        <v>618</v>
      </c>
      <c r="E304" t="s">
        <v>193</v>
      </c>
      <c r="F304">
        <v>104</v>
      </c>
      <c r="G304">
        <v>222.19200000000001</v>
      </c>
      <c r="H304">
        <v>23108</v>
      </c>
    </row>
    <row r="305" spans="1:8" hidden="1" x14ac:dyDescent="0.3">
      <c r="A305" t="s">
        <v>15</v>
      </c>
      <c r="B305" t="s">
        <v>354</v>
      </c>
      <c r="C305" t="s">
        <v>619</v>
      </c>
      <c r="D305" t="s">
        <v>620</v>
      </c>
      <c r="E305" t="s">
        <v>193</v>
      </c>
      <c r="F305">
        <v>100</v>
      </c>
      <c r="G305">
        <v>100.861</v>
      </c>
      <c r="H305">
        <v>10086.102440000001</v>
      </c>
    </row>
    <row r="306" spans="1:8" hidden="1" x14ac:dyDescent="0.3">
      <c r="A306" t="s">
        <v>15</v>
      </c>
      <c r="B306" t="s">
        <v>354</v>
      </c>
      <c r="C306" t="s">
        <v>621</v>
      </c>
      <c r="D306" t="s">
        <v>622</v>
      </c>
      <c r="E306" t="s">
        <v>193</v>
      </c>
      <c r="F306">
        <v>100</v>
      </c>
      <c r="G306">
        <v>76.75</v>
      </c>
      <c r="H306">
        <v>7675</v>
      </c>
    </row>
    <row r="307" spans="1:8" hidden="1" x14ac:dyDescent="0.3">
      <c r="A307" t="s">
        <v>15</v>
      </c>
      <c r="B307" t="s">
        <v>354</v>
      </c>
      <c r="C307" t="s">
        <v>623</v>
      </c>
      <c r="D307" t="s">
        <v>624</v>
      </c>
      <c r="E307" t="s">
        <v>193</v>
      </c>
      <c r="F307">
        <v>5</v>
      </c>
      <c r="G307">
        <v>25</v>
      </c>
      <c r="H307">
        <v>125</v>
      </c>
    </row>
    <row r="308" spans="1:8" hidden="1" x14ac:dyDescent="0.3">
      <c r="A308" t="s">
        <v>15</v>
      </c>
      <c r="B308" t="s">
        <v>354</v>
      </c>
      <c r="C308" t="s">
        <v>625</v>
      </c>
      <c r="D308" t="s">
        <v>626</v>
      </c>
      <c r="E308" t="s">
        <v>193</v>
      </c>
      <c r="F308">
        <v>100</v>
      </c>
      <c r="G308">
        <v>1021.769</v>
      </c>
      <c r="H308">
        <v>102176.9025</v>
      </c>
    </row>
    <row r="309" spans="1:8" hidden="1" x14ac:dyDescent="0.3">
      <c r="A309" t="s">
        <v>15</v>
      </c>
      <c r="B309" t="s">
        <v>354</v>
      </c>
      <c r="C309" t="s">
        <v>627</v>
      </c>
      <c r="D309" t="s">
        <v>628</v>
      </c>
      <c r="E309" t="s">
        <v>19</v>
      </c>
      <c r="F309">
        <v>2</v>
      </c>
      <c r="G309">
        <v>17275</v>
      </c>
      <c r="H309">
        <v>34550</v>
      </c>
    </row>
    <row r="310" spans="1:8" hidden="1" x14ac:dyDescent="0.3">
      <c r="A310" t="s">
        <v>15</v>
      </c>
      <c r="B310" t="s">
        <v>354</v>
      </c>
      <c r="C310" t="s">
        <v>629</v>
      </c>
      <c r="D310" t="s">
        <v>630</v>
      </c>
      <c r="E310" t="s">
        <v>19</v>
      </c>
      <c r="F310">
        <v>3</v>
      </c>
      <c r="G310">
        <v>633.27200000000005</v>
      </c>
      <c r="H310">
        <v>1899.81522</v>
      </c>
    </row>
    <row r="311" spans="1:8" hidden="1" x14ac:dyDescent="0.3">
      <c r="A311" t="s">
        <v>15</v>
      </c>
      <c r="B311" t="s">
        <v>354</v>
      </c>
      <c r="C311" t="s">
        <v>631</v>
      </c>
      <c r="D311" t="s">
        <v>632</v>
      </c>
      <c r="E311" t="s">
        <v>19</v>
      </c>
      <c r="F311">
        <v>1</v>
      </c>
      <c r="G311">
        <v>3064</v>
      </c>
      <c r="H311">
        <v>3064</v>
      </c>
    </row>
    <row r="312" spans="1:8" hidden="1" x14ac:dyDescent="0.3">
      <c r="A312" t="s">
        <v>15</v>
      </c>
      <c r="B312" t="s">
        <v>354</v>
      </c>
      <c r="C312" t="s">
        <v>251</v>
      </c>
      <c r="D312" t="s">
        <v>252</v>
      </c>
      <c r="E312" t="s">
        <v>19</v>
      </c>
      <c r="F312">
        <v>36</v>
      </c>
      <c r="G312">
        <v>154.06700000000001</v>
      </c>
      <c r="H312">
        <v>5546.4260400000003</v>
      </c>
    </row>
    <row r="313" spans="1:8" hidden="1" x14ac:dyDescent="0.3">
      <c r="A313" t="s">
        <v>15</v>
      </c>
      <c r="B313" t="s">
        <v>354</v>
      </c>
      <c r="C313" t="s">
        <v>635</v>
      </c>
      <c r="D313" t="s">
        <v>636</v>
      </c>
      <c r="E313" t="s">
        <v>193</v>
      </c>
      <c r="F313">
        <v>20</v>
      </c>
      <c r="G313">
        <v>19</v>
      </c>
      <c r="H313">
        <v>380</v>
      </c>
    </row>
    <row r="314" spans="1:8" hidden="1" x14ac:dyDescent="0.3">
      <c r="A314" t="s">
        <v>15</v>
      </c>
      <c r="B314" t="s">
        <v>354</v>
      </c>
      <c r="C314" t="s">
        <v>637</v>
      </c>
      <c r="D314" t="s">
        <v>638</v>
      </c>
      <c r="E314" t="s">
        <v>233</v>
      </c>
      <c r="F314">
        <v>3</v>
      </c>
      <c r="G314">
        <v>356.47199999999998</v>
      </c>
      <c r="H314">
        <v>1069.4154900000001</v>
      </c>
    </row>
    <row r="315" spans="1:8" hidden="1" x14ac:dyDescent="0.3">
      <c r="A315" t="s">
        <v>15</v>
      </c>
      <c r="B315" t="s">
        <v>354</v>
      </c>
      <c r="C315" t="s">
        <v>639</v>
      </c>
      <c r="D315" t="s">
        <v>640</v>
      </c>
      <c r="E315" t="s">
        <v>19</v>
      </c>
      <c r="F315">
        <v>12</v>
      </c>
      <c r="G315">
        <v>17</v>
      </c>
      <c r="H315">
        <v>204</v>
      </c>
    </row>
    <row r="316" spans="1:8" hidden="1" x14ac:dyDescent="0.3">
      <c r="A316" t="s">
        <v>15</v>
      </c>
      <c r="B316" t="s">
        <v>354</v>
      </c>
      <c r="C316" t="s">
        <v>641</v>
      </c>
      <c r="D316" t="s">
        <v>642</v>
      </c>
      <c r="E316" t="s">
        <v>19</v>
      </c>
      <c r="F316">
        <v>6</v>
      </c>
      <c r="G316">
        <v>17</v>
      </c>
      <c r="H316">
        <v>102</v>
      </c>
    </row>
    <row r="317" spans="1:8" hidden="1" x14ac:dyDescent="0.3">
      <c r="A317" t="s">
        <v>15</v>
      </c>
      <c r="B317" t="s">
        <v>354</v>
      </c>
      <c r="C317" t="s">
        <v>643</v>
      </c>
      <c r="D317" t="s">
        <v>644</v>
      </c>
      <c r="E317" t="s">
        <v>19</v>
      </c>
      <c r="F317">
        <v>12</v>
      </c>
      <c r="G317">
        <v>29.606000000000002</v>
      </c>
      <c r="H317">
        <v>355.27440000000001</v>
      </c>
    </row>
    <row r="318" spans="1:8" hidden="1" x14ac:dyDescent="0.3">
      <c r="A318" t="s">
        <v>15</v>
      </c>
      <c r="B318" t="s">
        <v>354</v>
      </c>
      <c r="C318" t="s">
        <v>645</v>
      </c>
      <c r="D318" t="s">
        <v>646</v>
      </c>
      <c r="E318" t="s">
        <v>19</v>
      </c>
      <c r="F318">
        <v>12</v>
      </c>
      <c r="G318">
        <v>56.704999999999998</v>
      </c>
      <c r="H318">
        <v>680.4624</v>
      </c>
    </row>
    <row r="319" spans="1:8" hidden="1" x14ac:dyDescent="0.3">
      <c r="A319" t="s">
        <v>15</v>
      </c>
      <c r="B319" t="s">
        <v>354</v>
      </c>
      <c r="C319" t="s">
        <v>647</v>
      </c>
      <c r="D319" t="s">
        <v>648</v>
      </c>
      <c r="E319" t="s">
        <v>19</v>
      </c>
      <c r="F319">
        <v>30</v>
      </c>
      <c r="G319">
        <v>3.617</v>
      </c>
      <c r="H319">
        <v>108.5175</v>
      </c>
    </row>
    <row r="320" spans="1:8" hidden="1" x14ac:dyDescent="0.3">
      <c r="A320" t="s">
        <v>15</v>
      </c>
      <c r="B320" t="s">
        <v>354</v>
      </c>
      <c r="C320" t="s">
        <v>649</v>
      </c>
      <c r="D320" t="s">
        <v>650</v>
      </c>
      <c r="E320" t="s">
        <v>19</v>
      </c>
      <c r="F320">
        <v>5</v>
      </c>
      <c r="G320">
        <v>3.5990000000000002</v>
      </c>
      <c r="H320">
        <v>17.993919999999999</v>
      </c>
    </row>
    <row r="321" spans="1:8" hidden="1" x14ac:dyDescent="0.3">
      <c r="A321" t="s">
        <v>15</v>
      </c>
      <c r="B321" t="s">
        <v>354</v>
      </c>
      <c r="C321" t="s">
        <v>651</v>
      </c>
      <c r="D321" t="s">
        <v>652</v>
      </c>
      <c r="E321" t="s">
        <v>19</v>
      </c>
      <c r="F321">
        <v>5</v>
      </c>
      <c r="G321">
        <v>4.37</v>
      </c>
      <c r="H321">
        <v>21.849599999999999</v>
      </c>
    </row>
    <row r="322" spans="1:8" hidden="1" x14ac:dyDescent="0.3">
      <c r="A322" t="s">
        <v>15</v>
      </c>
      <c r="B322" t="s">
        <v>354</v>
      </c>
      <c r="C322" t="s">
        <v>653</v>
      </c>
      <c r="D322" t="s">
        <v>654</v>
      </c>
      <c r="E322" t="s">
        <v>19</v>
      </c>
      <c r="F322">
        <v>20</v>
      </c>
      <c r="G322">
        <v>6.1959999999999997</v>
      </c>
      <c r="H322">
        <v>123.9298</v>
      </c>
    </row>
    <row r="323" spans="1:8" hidden="1" x14ac:dyDescent="0.3">
      <c r="A323" t="s">
        <v>15</v>
      </c>
      <c r="B323" t="s">
        <v>354</v>
      </c>
      <c r="C323" t="s">
        <v>655</v>
      </c>
      <c r="D323" t="s">
        <v>656</v>
      </c>
      <c r="E323" t="s">
        <v>19</v>
      </c>
      <c r="F323">
        <v>2</v>
      </c>
      <c r="G323">
        <v>900</v>
      </c>
      <c r="H323">
        <v>1800</v>
      </c>
    </row>
    <row r="324" spans="1:8" hidden="1" x14ac:dyDescent="0.3">
      <c r="A324" t="s">
        <v>15</v>
      </c>
      <c r="B324" t="s">
        <v>354</v>
      </c>
      <c r="C324" t="s">
        <v>657</v>
      </c>
      <c r="D324" t="s">
        <v>658</v>
      </c>
      <c r="E324" t="s">
        <v>19</v>
      </c>
      <c r="F324">
        <v>8</v>
      </c>
      <c r="G324">
        <v>4509.1706666666596</v>
      </c>
      <c r="H324">
        <v>35965.023399999998</v>
      </c>
    </row>
    <row r="325" spans="1:8" hidden="1" x14ac:dyDescent="0.3">
      <c r="A325" t="s">
        <v>15</v>
      </c>
      <c r="B325" t="s">
        <v>354</v>
      </c>
      <c r="C325" t="s">
        <v>659</v>
      </c>
      <c r="D325" t="s">
        <v>660</v>
      </c>
      <c r="E325" t="s">
        <v>19</v>
      </c>
      <c r="F325">
        <v>18</v>
      </c>
      <c r="G325">
        <v>115</v>
      </c>
      <c r="H325">
        <v>2070</v>
      </c>
    </row>
    <row r="326" spans="1:8" hidden="1" x14ac:dyDescent="0.3">
      <c r="A326" t="s">
        <v>15</v>
      </c>
      <c r="B326" t="s">
        <v>354</v>
      </c>
      <c r="C326" t="s">
        <v>661</v>
      </c>
      <c r="D326" t="s">
        <v>662</v>
      </c>
      <c r="E326" t="s">
        <v>19</v>
      </c>
      <c r="F326">
        <v>12</v>
      </c>
      <c r="G326">
        <v>243.529</v>
      </c>
      <c r="H326">
        <v>2922.3529199999998</v>
      </c>
    </row>
    <row r="327" spans="1:8" hidden="1" x14ac:dyDescent="0.3">
      <c r="A327" t="s">
        <v>15</v>
      </c>
      <c r="B327" t="s">
        <v>354</v>
      </c>
      <c r="C327" t="s">
        <v>663</v>
      </c>
      <c r="D327" t="s">
        <v>664</v>
      </c>
      <c r="E327" t="s">
        <v>19</v>
      </c>
      <c r="F327">
        <v>40</v>
      </c>
      <c r="G327">
        <v>1.7549999999999999</v>
      </c>
      <c r="H327">
        <v>70.2</v>
      </c>
    </row>
    <row r="328" spans="1:8" hidden="1" x14ac:dyDescent="0.3">
      <c r="A328" t="s">
        <v>15</v>
      </c>
      <c r="B328" t="s">
        <v>354</v>
      </c>
      <c r="C328" t="s">
        <v>665</v>
      </c>
      <c r="D328" t="s">
        <v>666</v>
      </c>
      <c r="E328" t="s">
        <v>19</v>
      </c>
      <c r="F328">
        <v>1</v>
      </c>
      <c r="G328">
        <v>190.76499999999999</v>
      </c>
      <c r="H328">
        <v>190.76492999999999</v>
      </c>
    </row>
    <row r="329" spans="1:8" hidden="1" x14ac:dyDescent="0.3">
      <c r="A329" t="s">
        <v>15</v>
      </c>
      <c r="B329" t="s">
        <v>354</v>
      </c>
      <c r="C329" t="s">
        <v>667</v>
      </c>
      <c r="D329" t="s">
        <v>668</v>
      </c>
      <c r="E329" t="s">
        <v>19</v>
      </c>
      <c r="F329">
        <v>1</v>
      </c>
      <c r="G329">
        <v>773.03599999999994</v>
      </c>
      <c r="H329">
        <v>773.03571999999997</v>
      </c>
    </row>
    <row r="330" spans="1:8" hidden="1" x14ac:dyDescent="0.3">
      <c r="A330" t="s">
        <v>15</v>
      </c>
      <c r="B330" t="s">
        <v>354</v>
      </c>
      <c r="C330" t="s">
        <v>669</v>
      </c>
      <c r="D330" t="s">
        <v>670</v>
      </c>
      <c r="E330" t="s">
        <v>19</v>
      </c>
      <c r="F330">
        <v>2</v>
      </c>
      <c r="G330">
        <v>584.74</v>
      </c>
      <c r="H330">
        <v>1169.48</v>
      </c>
    </row>
    <row r="331" spans="1:8" hidden="1" x14ac:dyDescent="0.3">
      <c r="A331" t="s">
        <v>15</v>
      </c>
      <c r="B331" t="s">
        <v>354</v>
      </c>
      <c r="C331" t="s">
        <v>671</v>
      </c>
      <c r="D331" t="s">
        <v>672</v>
      </c>
      <c r="E331" t="s">
        <v>19</v>
      </c>
      <c r="F331">
        <v>10</v>
      </c>
      <c r="G331">
        <v>19.536999999999999</v>
      </c>
      <c r="H331">
        <v>195.37200000000001</v>
      </c>
    </row>
    <row r="332" spans="1:8" hidden="1" x14ac:dyDescent="0.3">
      <c r="A332" t="s">
        <v>15</v>
      </c>
      <c r="B332" t="s">
        <v>354</v>
      </c>
      <c r="C332" t="s">
        <v>673</v>
      </c>
      <c r="D332" t="s">
        <v>674</v>
      </c>
      <c r="E332" t="s">
        <v>19</v>
      </c>
      <c r="F332">
        <v>50</v>
      </c>
      <c r="G332">
        <v>3.677</v>
      </c>
      <c r="H332">
        <v>183.87</v>
      </c>
    </row>
    <row r="333" spans="1:8" hidden="1" x14ac:dyDescent="0.3">
      <c r="A333" t="s">
        <v>15</v>
      </c>
      <c r="B333" t="s">
        <v>354</v>
      </c>
      <c r="C333" t="s">
        <v>675</v>
      </c>
      <c r="D333" t="s">
        <v>676</v>
      </c>
      <c r="E333" t="s">
        <v>19</v>
      </c>
      <c r="F333">
        <v>1</v>
      </c>
      <c r="G333">
        <v>40327.877</v>
      </c>
      <c r="H333">
        <v>40327.876660000002</v>
      </c>
    </row>
    <row r="334" spans="1:8" hidden="1" x14ac:dyDescent="0.3">
      <c r="A334" t="s">
        <v>15</v>
      </c>
      <c r="B334" t="s">
        <v>354</v>
      </c>
      <c r="C334" t="s">
        <v>677</v>
      </c>
      <c r="D334" t="s">
        <v>678</v>
      </c>
      <c r="E334" t="s">
        <v>19</v>
      </c>
      <c r="F334">
        <v>1</v>
      </c>
      <c r="G334">
        <v>28355.121999999999</v>
      </c>
      <c r="H334">
        <v>28355.122220000001</v>
      </c>
    </row>
    <row r="335" spans="1:8" hidden="1" x14ac:dyDescent="0.3">
      <c r="A335" t="s">
        <v>15</v>
      </c>
      <c r="B335" t="s">
        <v>354</v>
      </c>
      <c r="C335" t="s">
        <v>679</v>
      </c>
      <c r="D335" t="s">
        <v>680</v>
      </c>
      <c r="E335" t="s">
        <v>19</v>
      </c>
      <c r="F335">
        <v>5</v>
      </c>
      <c r="G335">
        <v>650</v>
      </c>
      <c r="H335">
        <v>3250</v>
      </c>
    </row>
    <row r="336" spans="1:8" hidden="1" x14ac:dyDescent="0.3">
      <c r="A336" t="s">
        <v>15</v>
      </c>
      <c r="B336" t="s">
        <v>354</v>
      </c>
      <c r="C336" t="s">
        <v>681</v>
      </c>
      <c r="D336" t="s">
        <v>682</v>
      </c>
      <c r="E336" t="s">
        <v>19</v>
      </c>
      <c r="F336">
        <v>1</v>
      </c>
      <c r="G336">
        <v>475</v>
      </c>
      <c r="H336">
        <v>475</v>
      </c>
    </row>
    <row r="337" spans="1:8" hidden="1" x14ac:dyDescent="0.3">
      <c r="A337" t="s">
        <v>15</v>
      </c>
      <c r="B337" t="s">
        <v>354</v>
      </c>
      <c r="C337" t="s">
        <v>683</v>
      </c>
      <c r="D337" t="s">
        <v>684</v>
      </c>
      <c r="E337" t="s">
        <v>19</v>
      </c>
      <c r="F337">
        <v>1</v>
      </c>
      <c r="G337">
        <v>436.62799999999999</v>
      </c>
      <c r="H337">
        <v>436.62790999999999</v>
      </c>
    </row>
    <row r="338" spans="1:8" hidden="1" x14ac:dyDescent="0.3">
      <c r="A338" t="s">
        <v>15</v>
      </c>
      <c r="B338" t="s">
        <v>354</v>
      </c>
      <c r="C338" t="s">
        <v>685</v>
      </c>
      <c r="D338" t="s">
        <v>686</v>
      </c>
      <c r="E338" t="s">
        <v>19</v>
      </c>
      <c r="F338">
        <v>1</v>
      </c>
      <c r="G338">
        <v>219.24</v>
      </c>
      <c r="H338">
        <v>219.23965999999999</v>
      </c>
    </row>
    <row r="339" spans="1:8" hidden="1" x14ac:dyDescent="0.3">
      <c r="A339" t="s">
        <v>15</v>
      </c>
      <c r="B339" t="s">
        <v>354</v>
      </c>
      <c r="C339" t="s">
        <v>687</v>
      </c>
      <c r="D339" t="s">
        <v>688</v>
      </c>
      <c r="E339" t="s">
        <v>19</v>
      </c>
      <c r="F339">
        <v>1</v>
      </c>
      <c r="G339">
        <v>732.1</v>
      </c>
      <c r="H339">
        <v>732.1</v>
      </c>
    </row>
    <row r="340" spans="1:8" hidden="1" x14ac:dyDescent="0.3">
      <c r="A340" t="s">
        <v>15</v>
      </c>
      <c r="B340" t="s">
        <v>354</v>
      </c>
      <c r="C340" t="s">
        <v>689</v>
      </c>
      <c r="D340" t="s">
        <v>690</v>
      </c>
      <c r="E340" t="s">
        <v>19</v>
      </c>
      <c r="F340">
        <v>20</v>
      </c>
      <c r="G340">
        <v>8</v>
      </c>
      <c r="H340">
        <v>160</v>
      </c>
    </row>
    <row r="341" spans="1:8" hidden="1" x14ac:dyDescent="0.3">
      <c r="A341" t="s">
        <v>15</v>
      </c>
      <c r="B341" t="s">
        <v>354</v>
      </c>
      <c r="C341" t="s">
        <v>691</v>
      </c>
      <c r="D341" t="s">
        <v>692</v>
      </c>
      <c r="E341" t="s">
        <v>19</v>
      </c>
      <c r="F341">
        <v>20</v>
      </c>
      <c r="G341">
        <v>17.352</v>
      </c>
      <c r="H341">
        <v>347.04899999999998</v>
      </c>
    </row>
    <row r="342" spans="1:8" hidden="1" x14ac:dyDescent="0.3">
      <c r="A342" t="s">
        <v>15</v>
      </c>
      <c r="B342" t="s">
        <v>354</v>
      </c>
      <c r="C342" t="s">
        <v>693</v>
      </c>
      <c r="D342" t="s">
        <v>694</v>
      </c>
      <c r="E342" t="s">
        <v>19</v>
      </c>
      <c r="F342">
        <v>20</v>
      </c>
      <c r="G342">
        <v>22.777000000000001</v>
      </c>
      <c r="H342">
        <v>455.5378</v>
      </c>
    </row>
    <row r="343" spans="1:8" hidden="1" x14ac:dyDescent="0.3">
      <c r="A343" t="s">
        <v>15</v>
      </c>
      <c r="B343" t="s">
        <v>354</v>
      </c>
      <c r="C343" t="s">
        <v>695</v>
      </c>
      <c r="D343" t="s">
        <v>696</v>
      </c>
      <c r="E343" t="s">
        <v>19</v>
      </c>
      <c r="F343">
        <v>20</v>
      </c>
      <c r="G343">
        <v>13.864000000000001</v>
      </c>
      <c r="H343">
        <v>277.28379999999999</v>
      </c>
    </row>
    <row r="344" spans="1:8" hidden="1" x14ac:dyDescent="0.3">
      <c r="A344" t="s">
        <v>15</v>
      </c>
      <c r="B344" t="s">
        <v>354</v>
      </c>
      <c r="C344" t="s">
        <v>697</v>
      </c>
      <c r="D344" t="s">
        <v>698</v>
      </c>
      <c r="E344" t="s">
        <v>19</v>
      </c>
      <c r="F344">
        <v>20</v>
      </c>
      <c r="G344">
        <v>34.659999999999997</v>
      </c>
      <c r="H344">
        <v>693.20979999999997</v>
      </c>
    </row>
    <row r="345" spans="1:8" hidden="1" x14ac:dyDescent="0.3">
      <c r="A345" t="s">
        <v>15</v>
      </c>
      <c r="B345" t="s">
        <v>354</v>
      </c>
      <c r="C345" t="s">
        <v>699</v>
      </c>
      <c r="D345" t="s">
        <v>700</v>
      </c>
      <c r="E345" t="s">
        <v>19</v>
      </c>
      <c r="F345">
        <v>3</v>
      </c>
      <c r="G345">
        <v>165</v>
      </c>
      <c r="H345">
        <v>495</v>
      </c>
    </row>
    <row r="346" spans="1:8" hidden="1" x14ac:dyDescent="0.3">
      <c r="A346" t="s">
        <v>15</v>
      </c>
      <c r="B346" t="s">
        <v>354</v>
      </c>
      <c r="C346" t="s">
        <v>701</v>
      </c>
      <c r="D346" t="s">
        <v>702</v>
      </c>
      <c r="E346" t="s">
        <v>19</v>
      </c>
      <c r="F346">
        <v>2</v>
      </c>
      <c r="G346">
        <v>93.75</v>
      </c>
      <c r="H346">
        <v>187.5</v>
      </c>
    </row>
    <row r="347" spans="1:8" hidden="1" x14ac:dyDescent="0.3">
      <c r="A347" t="s">
        <v>15</v>
      </c>
      <c r="B347" t="s">
        <v>354</v>
      </c>
      <c r="C347" t="s">
        <v>703</v>
      </c>
      <c r="D347" t="s">
        <v>704</v>
      </c>
      <c r="E347" t="s">
        <v>19</v>
      </c>
      <c r="F347">
        <v>6</v>
      </c>
      <c r="G347">
        <v>46.942666666666597</v>
      </c>
      <c r="H347">
        <v>281.65517999999997</v>
      </c>
    </row>
    <row r="348" spans="1:8" hidden="1" x14ac:dyDescent="0.3">
      <c r="A348" t="s">
        <v>15</v>
      </c>
      <c r="B348" t="s">
        <v>354</v>
      </c>
      <c r="C348" t="s">
        <v>705</v>
      </c>
      <c r="D348" t="s">
        <v>706</v>
      </c>
      <c r="E348" t="s">
        <v>19</v>
      </c>
      <c r="F348">
        <v>20</v>
      </c>
      <c r="G348">
        <v>111.3</v>
      </c>
      <c r="H348">
        <v>2226</v>
      </c>
    </row>
    <row r="349" spans="1:8" hidden="1" x14ac:dyDescent="0.3">
      <c r="A349" t="s">
        <v>15</v>
      </c>
      <c r="B349" t="s">
        <v>354</v>
      </c>
      <c r="C349" t="s">
        <v>707</v>
      </c>
      <c r="D349" t="s">
        <v>708</v>
      </c>
      <c r="E349" t="s">
        <v>19</v>
      </c>
      <c r="F349">
        <v>14</v>
      </c>
      <c r="G349">
        <v>111.3</v>
      </c>
      <c r="H349">
        <v>1558.2</v>
      </c>
    </row>
    <row r="350" spans="1:8" hidden="1" x14ac:dyDescent="0.3">
      <c r="A350" t="s">
        <v>15</v>
      </c>
      <c r="B350" t="s">
        <v>354</v>
      </c>
      <c r="C350" t="s">
        <v>709</v>
      </c>
      <c r="D350" t="s">
        <v>710</v>
      </c>
      <c r="E350" t="s">
        <v>19</v>
      </c>
      <c r="F350">
        <v>2</v>
      </c>
      <c r="G350">
        <v>455</v>
      </c>
      <c r="H350">
        <v>910</v>
      </c>
    </row>
    <row r="351" spans="1:8" hidden="1" x14ac:dyDescent="0.3">
      <c r="A351" t="s">
        <v>15</v>
      </c>
      <c r="B351" t="s">
        <v>354</v>
      </c>
      <c r="C351" t="s">
        <v>711</v>
      </c>
      <c r="D351" t="s">
        <v>712</v>
      </c>
      <c r="E351" t="s">
        <v>19</v>
      </c>
      <c r="F351">
        <v>1</v>
      </c>
      <c r="G351">
        <v>1592.3440000000001</v>
      </c>
      <c r="H351">
        <v>1592.3444099999999</v>
      </c>
    </row>
    <row r="352" spans="1:8" hidden="1" x14ac:dyDescent="0.3">
      <c r="A352" t="s">
        <v>15</v>
      </c>
      <c r="B352" t="s">
        <v>354</v>
      </c>
      <c r="C352" t="s">
        <v>713</v>
      </c>
      <c r="D352" t="s">
        <v>714</v>
      </c>
      <c r="E352" t="s">
        <v>19</v>
      </c>
      <c r="F352">
        <v>5</v>
      </c>
      <c r="G352">
        <v>68</v>
      </c>
      <c r="H352">
        <v>326</v>
      </c>
    </row>
    <row r="353" spans="1:8" hidden="1" x14ac:dyDescent="0.3">
      <c r="A353" t="s">
        <v>15</v>
      </c>
      <c r="B353" t="s">
        <v>354</v>
      </c>
      <c r="C353" t="s">
        <v>715</v>
      </c>
      <c r="D353" t="s">
        <v>716</v>
      </c>
      <c r="E353" t="s">
        <v>19</v>
      </c>
      <c r="F353">
        <v>1</v>
      </c>
      <c r="G353">
        <v>100</v>
      </c>
      <c r="H353">
        <v>100</v>
      </c>
    </row>
    <row r="354" spans="1:8" hidden="1" x14ac:dyDescent="0.3">
      <c r="A354" t="s">
        <v>15</v>
      </c>
      <c r="B354" t="s">
        <v>354</v>
      </c>
      <c r="C354" t="s">
        <v>717</v>
      </c>
      <c r="D354" t="s">
        <v>718</v>
      </c>
      <c r="E354" t="s">
        <v>19</v>
      </c>
      <c r="F354">
        <v>1</v>
      </c>
      <c r="G354">
        <v>172.2</v>
      </c>
      <c r="H354">
        <v>172.2</v>
      </c>
    </row>
    <row r="355" spans="1:8" hidden="1" x14ac:dyDescent="0.3">
      <c r="A355" t="s">
        <v>15</v>
      </c>
      <c r="B355" t="s">
        <v>354</v>
      </c>
      <c r="C355" t="s">
        <v>719</v>
      </c>
      <c r="D355" t="s">
        <v>720</v>
      </c>
      <c r="E355" t="s">
        <v>19</v>
      </c>
      <c r="F355">
        <v>2</v>
      </c>
      <c r="G355">
        <v>100</v>
      </c>
      <c r="H355">
        <v>200</v>
      </c>
    </row>
    <row r="356" spans="1:8" hidden="1" x14ac:dyDescent="0.3">
      <c r="A356" t="s">
        <v>15</v>
      </c>
      <c r="B356" t="s">
        <v>354</v>
      </c>
      <c r="C356" t="s">
        <v>721</v>
      </c>
      <c r="D356" t="s">
        <v>722</v>
      </c>
      <c r="E356" t="s">
        <v>19</v>
      </c>
      <c r="F356">
        <v>1</v>
      </c>
      <c r="G356">
        <v>2645.299</v>
      </c>
      <c r="H356">
        <v>2645.29943</v>
      </c>
    </row>
    <row r="357" spans="1:8" hidden="1" x14ac:dyDescent="0.3">
      <c r="A357" t="s">
        <v>15</v>
      </c>
      <c r="B357" t="s">
        <v>354</v>
      </c>
      <c r="C357" t="s">
        <v>723</v>
      </c>
      <c r="D357" t="s">
        <v>724</v>
      </c>
      <c r="E357" t="s">
        <v>19</v>
      </c>
      <c r="F357">
        <v>10</v>
      </c>
      <c r="G357">
        <v>1.5</v>
      </c>
      <c r="H357">
        <v>15</v>
      </c>
    </row>
    <row r="358" spans="1:8" hidden="1" x14ac:dyDescent="0.3">
      <c r="A358" t="s">
        <v>15</v>
      </c>
      <c r="B358" t="s">
        <v>354</v>
      </c>
      <c r="C358" t="s">
        <v>725</v>
      </c>
      <c r="D358" t="s">
        <v>726</v>
      </c>
      <c r="E358" t="s">
        <v>19</v>
      </c>
      <c r="F358">
        <v>7</v>
      </c>
      <c r="G358">
        <v>2090.6666666666601</v>
      </c>
      <c r="H358">
        <v>14634</v>
      </c>
    </row>
    <row r="359" spans="1:8" hidden="1" x14ac:dyDescent="0.3">
      <c r="A359" t="s">
        <v>15</v>
      </c>
      <c r="B359" t="s">
        <v>354</v>
      </c>
      <c r="C359" t="s">
        <v>727</v>
      </c>
      <c r="D359" t="s">
        <v>728</v>
      </c>
      <c r="E359" t="s">
        <v>19</v>
      </c>
      <c r="F359">
        <v>1</v>
      </c>
      <c r="G359">
        <v>633</v>
      </c>
      <c r="H359">
        <v>633</v>
      </c>
    </row>
    <row r="360" spans="1:8" hidden="1" x14ac:dyDescent="0.3">
      <c r="A360" t="s">
        <v>15</v>
      </c>
      <c r="B360" t="s">
        <v>354</v>
      </c>
      <c r="C360" t="s">
        <v>729</v>
      </c>
      <c r="D360" t="s">
        <v>730</v>
      </c>
      <c r="E360" t="s">
        <v>19</v>
      </c>
      <c r="F360">
        <v>5</v>
      </c>
      <c r="G360">
        <v>6400.35</v>
      </c>
      <c r="H360">
        <v>32001.75</v>
      </c>
    </row>
    <row r="361" spans="1:8" hidden="1" x14ac:dyDescent="0.3">
      <c r="A361" t="s">
        <v>15</v>
      </c>
      <c r="B361" t="s">
        <v>354</v>
      </c>
      <c r="C361" t="s">
        <v>731</v>
      </c>
      <c r="D361" t="s">
        <v>732</v>
      </c>
      <c r="E361" t="s">
        <v>19</v>
      </c>
      <c r="F361">
        <v>7</v>
      </c>
      <c r="G361">
        <v>1135.2</v>
      </c>
      <c r="H361">
        <v>7946.4</v>
      </c>
    </row>
    <row r="362" spans="1:8" hidden="1" x14ac:dyDescent="0.3">
      <c r="A362" t="s">
        <v>15</v>
      </c>
      <c r="B362" t="s">
        <v>354</v>
      </c>
      <c r="C362" t="s">
        <v>733</v>
      </c>
      <c r="D362" t="s">
        <v>734</v>
      </c>
      <c r="E362" t="s">
        <v>19</v>
      </c>
      <c r="F362">
        <v>3</v>
      </c>
      <c r="G362">
        <v>1485</v>
      </c>
      <c r="H362">
        <v>4455</v>
      </c>
    </row>
    <row r="363" spans="1:8" hidden="1" x14ac:dyDescent="0.3">
      <c r="A363" t="s">
        <v>15</v>
      </c>
      <c r="B363" t="s">
        <v>354</v>
      </c>
      <c r="C363" t="s">
        <v>735</v>
      </c>
      <c r="D363" t="s">
        <v>736</v>
      </c>
      <c r="E363" t="s">
        <v>19</v>
      </c>
      <c r="F363">
        <v>5</v>
      </c>
      <c r="G363">
        <v>90.62</v>
      </c>
      <c r="H363">
        <v>453.10171000000003</v>
      </c>
    </row>
    <row r="364" spans="1:8" hidden="1" x14ac:dyDescent="0.3">
      <c r="A364" t="s">
        <v>15</v>
      </c>
      <c r="B364" t="s">
        <v>354</v>
      </c>
      <c r="C364" t="s">
        <v>737</v>
      </c>
      <c r="D364" t="s">
        <v>738</v>
      </c>
      <c r="E364" t="s">
        <v>19</v>
      </c>
      <c r="F364">
        <v>3</v>
      </c>
      <c r="G364">
        <v>58.182000000000002</v>
      </c>
      <c r="H364">
        <v>174.54599999999999</v>
      </c>
    </row>
    <row r="365" spans="1:8" hidden="1" x14ac:dyDescent="0.3">
      <c r="A365" t="s">
        <v>15</v>
      </c>
      <c r="B365" t="s">
        <v>354</v>
      </c>
      <c r="C365" t="s">
        <v>739</v>
      </c>
      <c r="D365" t="s">
        <v>740</v>
      </c>
      <c r="E365" t="s">
        <v>19</v>
      </c>
      <c r="F365">
        <v>6</v>
      </c>
      <c r="G365">
        <v>58.182000000000002</v>
      </c>
      <c r="H365">
        <v>349.09</v>
      </c>
    </row>
    <row r="366" spans="1:8" hidden="1" x14ac:dyDescent="0.3">
      <c r="A366" t="s">
        <v>15</v>
      </c>
      <c r="B366" t="s">
        <v>354</v>
      </c>
      <c r="C366" t="s">
        <v>741</v>
      </c>
      <c r="D366" t="s">
        <v>742</v>
      </c>
      <c r="E366" t="s">
        <v>19</v>
      </c>
      <c r="F366">
        <v>5</v>
      </c>
      <c r="G366">
        <v>155</v>
      </c>
      <c r="H366">
        <v>775</v>
      </c>
    </row>
    <row r="367" spans="1:8" hidden="1" x14ac:dyDescent="0.3">
      <c r="A367" t="s">
        <v>15</v>
      </c>
      <c r="B367" t="s">
        <v>354</v>
      </c>
      <c r="C367" t="s">
        <v>743</v>
      </c>
      <c r="D367" t="s">
        <v>744</v>
      </c>
      <c r="E367" t="s">
        <v>19</v>
      </c>
      <c r="F367">
        <v>7</v>
      </c>
      <c r="G367">
        <v>481.95</v>
      </c>
      <c r="H367">
        <v>3373.65</v>
      </c>
    </row>
    <row r="368" spans="1:8" hidden="1" x14ac:dyDescent="0.3">
      <c r="A368" t="s">
        <v>15</v>
      </c>
      <c r="B368" t="s">
        <v>354</v>
      </c>
      <c r="C368" t="s">
        <v>745</v>
      </c>
      <c r="D368" t="s">
        <v>746</v>
      </c>
      <c r="E368" t="s">
        <v>19</v>
      </c>
      <c r="F368">
        <v>7</v>
      </c>
      <c r="G368">
        <v>589.04999999999995</v>
      </c>
      <c r="H368">
        <v>4123.3500000000004</v>
      </c>
    </row>
    <row r="369" spans="1:8" hidden="1" x14ac:dyDescent="0.3">
      <c r="A369" t="s">
        <v>15</v>
      </c>
      <c r="B369" t="s">
        <v>354</v>
      </c>
      <c r="C369" t="s">
        <v>747</v>
      </c>
      <c r="D369" t="s">
        <v>748</v>
      </c>
      <c r="E369" t="s">
        <v>19</v>
      </c>
      <c r="F369">
        <v>1</v>
      </c>
      <c r="G369">
        <v>56500</v>
      </c>
      <c r="H369">
        <v>56500</v>
      </c>
    </row>
    <row r="370" spans="1:8" hidden="1" x14ac:dyDescent="0.3">
      <c r="A370" t="s">
        <v>15</v>
      </c>
      <c r="B370" t="s">
        <v>354</v>
      </c>
      <c r="C370" t="s">
        <v>749</v>
      </c>
      <c r="D370" t="s">
        <v>750</v>
      </c>
      <c r="E370" t="s">
        <v>19</v>
      </c>
      <c r="F370">
        <v>6</v>
      </c>
      <c r="G370">
        <v>84.548000000000002</v>
      </c>
      <c r="H370">
        <v>505.10854999999998</v>
      </c>
    </row>
    <row r="371" spans="1:8" hidden="1" x14ac:dyDescent="0.3">
      <c r="A371" t="s">
        <v>15</v>
      </c>
      <c r="B371" t="s">
        <v>354</v>
      </c>
      <c r="C371" t="s">
        <v>751</v>
      </c>
      <c r="D371" t="s">
        <v>752</v>
      </c>
      <c r="E371" t="s">
        <v>19</v>
      </c>
      <c r="F371">
        <v>1</v>
      </c>
      <c r="G371">
        <v>979</v>
      </c>
      <c r="H371">
        <v>979</v>
      </c>
    </row>
    <row r="372" spans="1:8" hidden="1" x14ac:dyDescent="0.3">
      <c r="A372" t="s">
        <v>15</v>
      </c>
      <c r="B372" t="s">
        <v>354</v>
      </c>
      <c r="C372" t="s">
        <v>753</v>
      </c>
      <c r="D372" t="s">
        <v>754</v>
      </c>
      <c r="E372" t="s">
        <v>19</v>
      </c>
      <c r="F372">
        <v>1</v>
      </c>
      <c r="G372">
        <v>6099.9390000000003</v>
      </c>
      <c r="H372">
        <v>6099.9387500000003</v>
      </c>
    </row>
    <row r="373" spans="1:8" hidden="1" x14ac:dyDescent="0.3">
      <c r="A373" t="s">
        <v>15</v>
      </c>
      <c r="B373" t="s">
        <v>354</v>
      </c>
      <c r="C373" t="s">
        <v>755</v>
      </c>
      <c r="D373" t="s">
        <v>756</v>
      </c>
      <c r="E373" t="s">
        <v>19</v>
      </c>
      <c r="F373">
        <v>4</v>
      </c>
      <c r="G373">
        <v>1407.556</v>
      </c>
      <c r="H373">
        <v>5630.2252399999998</v>
      </c>
    </row>
    <row r="374" spans="1:8" hidden="1" x14ac:dyDescent="0.3">
      <c r="A374" t="s">
        <v>15</v>
      </c>
      <c r="B374" t="s">
        <v>354</v>
      </c>
      <c r="C374" t="s">
        <v>757</v>
      </c>
      <c r="D374" t="s">
        <v>758</v>
      </c>
      <c r="E374" t="s">
        <v>19</v>
      </c>
      <c r="F374">
        <v>1</v>
      </c>
      <c r="G374">
        <v>1955.94</v>
      </c>
      <c r="H374">
        <v>1955.94</v>
      </c>
    </row>
    <row r="375" spans="1:8" hidden="1" x14ac:dyDescent="0.3">
      <c r="A375" t="s">
        <v>15</v>
      </c>
      <c r="B375" t="s">
        <v>354</v>
      </c>
      <c r="C375" t="s">
        <v>759</v>
      </c>
      <c r="D375" t="s">
        <v>760</v>
      </c>
      <c r="E375" t="s">
        <v>323</v>
      </c>
      <c r="F375">
        <v>10</v>
      </c>
      <c r="G375">
        <v>10.84</v>
      </c>
      <c r="H375">
        <v>108.4</v>
      </c>
    </row>
    <row r="376" spans="1:8" hidden="1" x14ac:dyDescent="0.3">
      <c r="A376" t="s">
        <v>15</v>
      </c>
      <c r="B376" t="s">
        <v>354</v>
      </c>
      <c r="C376" t="s">
        <v>761</v>
      </c>
      <c r="D376" t="s">
        <v>762</v>
      </c>
      <c r="E376" t="s">
        <v>19</v>
      </c>
      <c r="F376">
        <v>2</v>
      </c>
      <c r="G376">
        <v>24.567</v>
      </c>
      <c r="H376">
        <v>49.133339999999997</v>
      </c>
    </row>
    <row r="377" spans="1:8" hidden="1" x14ac:dyDescent="0.3">
      <c r="A377" t="s">
        <v>15</v>
      </c>
      <c r="B377" t="s">
        <v>354</v>
      </c>
      <c r="C377" t="s">
        <v>763</v>
      </c>
      <c r="D377" t="s">
        <v>764</v>
      </c>
      <c r="E377" t="s">
        <v>233</v>
      </c>
      <c r="F377">
        <v>3</v>
      </c>
      <c r="G377">
        <v>200</v>
      </c>
      <c r="H377">
        <v>600</v>
      </c>
    </row>
    <row r="378" spans="1:8" hidden="1" x14ac:dyDescent="0.3">
      <c r="A378" t="s">
        <v>15</v>
      </c>
      <c r="B378" t="s">
        <v>354</v>
      </c>
      <c r="C378" t="s">
        <v>765</v>
      </c>
      <c r="D378" t="s">
        <v>766</v>
      </c>
      <c r="E378" t="s">
        <v>19</v>
      </c>
      <c r="F378">
        <v>1</v>
      </c>
      <c r="G378">
        <v>3142.5</v>
      </c>
      <c r="H378">
        <v>3084</v>
      </c>
    </row>
    <row r="379" spans="1:8" hidden="1" x14ac:dyDescent="0.3">
      <c r="A379" t="s">
        <v>15</v>
      </c>
      <c r="B379" t="s">
        <v>354</v>
      </c>
      <c r="C379" t="s">
        <v>767</v>
      </c>
      <c r="D379" t="s">
        <v>768</v>
      </c>
      <c r="E379" t="s">
        <v>19</v>
      </c>
      <c r="F379">
        <v>1</v>
      </c>
      <c r="G379">
        <v>3646</v>
      </c>
      <c r="H379">
        <v>3646</v>
      </c>
    </row>
    <row r="380" spans="1:8" hidden="1" x14ac:dyDescent="0.3">
      <c r="A380" t="s">
        <v>15</v>
      </c>
      <c r="B380" t="s">
        <v>354</v>
      </c>
      <c r="C380" t="s">
        <v>769</v>
      </c>
      <c r="D380" t="s">
        <v>770</v>
      </c>
      <c r="E380" t="s">
        <v>19</v>
      </c>
      <c r="F380">
        <v>3</v>
      </c>
      <c r="G380">
        <v>22</v>
      </c>
      <c r="H380">
        <v>66</v>
      </c>
    </row>
    <row r="381" spans="1:8" hidden="1" x14ac:dyDescent="0.3">
      <c r="A381" t="s">
        <v>15</v>
      </c>
      <c r="B381" t="s">
        <v>354</v>
      </c>
      <c r="C381" t="s">
        <v>771</v>
      </c>
      <c r="D381" t="s">
        <v>772</v>
      </c>
      <c r="E381" t="s">
        <v>19</v>
      </c>
      <c r="F381">
        <v>5</v>
      </c>
      <c r="G381">
        <v>65</v>
      </c>
      <c r="H381">
        <v>325</v>
      </c>
    </row>
    <row r="382" spans="1:8" hidden="1" x14ac:dyDescent="0.3">
      <c r="A382" t="s">
        <v>15</v>
      </c>
      <c r="B382" t="s">
        <v>354</v>
      </c>
      <c r="C382" t="s">
        <v>263</v>
      </c>
      <c r="D382" t="s">
        <v>264</v>
      </c>
      <c r="E382" t="s">
        <v>233</v>
      </c>
      <c r="F382">
        <v>10</v>
      </c>
      <c r="G382">
        <v>23.919</v>
      </c>
      <c r="H382">
        <v>239.1919</v>
      </c>
    </row>
    <row r="383" spans="1:8" hidden="1" x14ac:dyDescent="0.3">
      <c r="A383" t="s">
        <v>15</v>
      </c>
      <c r="B383" t="s">
        <v>354</v>
      </c>
      <c r="C383" t="s">
        <v>265</v>
      </c>
      <c r="D383" t="s">
        <v>266</v>
      </c>
      <c r="E383" t="s">
        <v>233</v>
      </c>
      <c r="F383">
        <v>12</v>
      </c>
      <c r="G383">
        <v>52.140999999999998</v>
      </c>
      <c r="H383">
        <v>625.69560000000001</v>
      </c>
    </row>
    <row r="384" spans="1:8" hidden="1" x14ac:dyDescent="0.3">
      <c r="A384" t="s">
        <v>15</v>
      </c>
      <c r="B384" t="s">
        <v>354</v>
      </c>
      <c r="C384" t="s">
        <v>775</v>
      </c>
      <c r="D384" t="s">
        <v>776</v>
      </c>
      <c r="E384" t="s">
        <v>19</v>
      </c>
      <c r="F384">
        <v>1</v>
      </c>
      <c r="G384">
        <v>39214</v>
      </c>
      <c r="H384">
        <v>39214</v>
      </c>
    </row>
    <row r="385" spans="1:8" hidden="1" x14ac:dyDescent="0.3">
      <c r="A385" t="s">
        <v>15</v>
      </c>
      <c r="B385" t="s">
        <v>354</v>
      </c>
      <c r="C385" t="s">
        <v>777</v>
      </c>
      <c r="D385" t="s">
        <v>778</v>
      </c>
      <c r="E385" t="s">
        <v>19</v>
      </c>
      <c r="F385">
        <v>12</v>
      </c>
      <c r="G385">
        <v>12.75</v>
      </c>
      <c r="H385">
        <v>153</v>
      </c>
    </row>
    <row r="386" spans="1:8" hidden="1" x14ac:dyDescent="0.3">
      <c r="A386" t="s">
        <v>15</v>
      </c>
      <c r="B386" t="s">
        <v>354</v>
      </c>
      <c r="C386" t="s">
        <v>779</v>
      </c>
      <c r="D386" t="s">
        <v>780</v>
      </c>
      <c r="E386" t="s">
        <v>19</v>
      </c>
      <c r="F386">
        <v>10</v>
      </c>
      <c r="G386">
        <v>23.36</v>
      </c>
      <c r="H386">
        <v>233.6</v>
      </c>
    </row>
    <row r="387" spans="1:8" hidden="1" x14ac:dyDescent="0.3">
      <c r="A387" t="s">
        <v>15</v>
      </c>
      <c r="B387" t="s">
        <v>354</v>
      </c>
      <c r="C387" t="s">
        <v>781</v>
      </c>
      <c r="D387" t="s">
        <v>782</v>
      </c>
      <c r="E387" t="s">
        <v>19</v>
      </c>
      <c r="F387">
        <v>1</v>
      </c>
      <c r="G387">
        <v>60.8</v>
      </c>
      <c r="H387">
        <v>60.8</v>
      </c>
    </row>
    <row r="388" spans="1:8" hidden="1" x14ac:dyDescent="0.3">
      <c r="A388" t="s">
        <v>15</v>
      </c>
      <c r="B388" t="s">
        <v>354</v>
      </c>
      <c r="C388" t="s">
        <v>783</v>
      </c>
      <c r="D388" t="s">
        <v>784</v>
      </c>
      <c r="E388" t="s">
        <v>19</v>
      </c>
      <c r="F388">
        <v>14</v>
      </c>
      <c r="G388">
        <v>1023.7364</v>
      </c>
      <c r="H388">
        <v>15049.9105</v>
      </c>
    </row>
    <row r="389" spans="1:8" hidden="1" x14ac:dyDescent="0.3">
      <c r="A389" t="s">
        <v>15</v>
      </c>
      <c r="B389" t="s">
        <v>354</v>
      </c>
      <c r="C389" t="s">
        <v>785</v>
      </c>
      <c r="D389" t="s">
        <v>786</v>
      </c>
      <c r="E389" t="s">
        <v>19</v>
      </c>
      <c r="F389">
        <v>11</v>
      </c>
      <c r="G389">
        <v>90.090999999999994</v>
      </c>
      <c r="H389">
        <v>991.00000999999997</v>
      </c>
    </row>
    <row r="390" spans="1:8" hidden="1" x14ac:dyDescent="0.3">
      <c r="A390" t="s">
        <v>15</v>
      </c>
      <c r="B390" t="s">
        <v>354</v>
      </c>
      <c r="C390" t="s">
        <v>787</v>
      </c>
      <c r="D390" t="s">
        <v>788</v>
      </c>
      <c r="E390" t="s">
        <v>19</v>
      </c>
      <c r="F390">
        <v>2</v>
      </c>
      <c r="G390">
        <v>875.13400000000001</v>
      </c>
      <c r="H390">
        <v>1750.26746</v>
      </c>
    </row>
    <row r="391" spans="1:8" hidden="1" x14ac:dyDescent="0.3">
      <c r="A391" t="s">
        <v>15</v>
      </c>
      <c r="B391" t="s">
        <v>354</v>
      </c>
      <c r="C391" t="s">
        <v>789</v>
      </c>
      <c r="D391" t="s">
        <v>790</v>
      </c>
      <c r="E391" t="s">
        <v>19</v>
      </c>
      <c r="F391">
        <v>17</v>
      </c>
      <c r="G391">
        <v>2763.8164999999999</v>
      </c>
      <c r="H391">
        <v>46414.142399999997</v>
      </c>
    </row>
    <row r="392" spans="1:8" hidden="1" x14ac:dyDescent="0.3">
      <c r="A392" t="s">
        <v>15</v>
      </c>
      <c r="B392" t="s">
        <v>354</v>
      </c>
      <c r="C392" t="s">
        <v>791</v>
      </c>
      <c r="D392" t="s">
        <v>792</v>
      </c>
      <c r="E392" t="s">
        <v>19</v>
      </c>
      <c r="F392">
        <v>4</v>
      </c>
      <c r="G392">
        <v>298.77625</v>
      </c>
      <c r="H392">
        <v>1195.10483</v>
      </c>
    </row>
    <row r="393" spans="1:8" hidden="1" x14ac:dyDescent="0.3">
      <c r="A393" t="s">
        <v>15</v>
      </c>
      <c r="B393" t="s">
        <v>354</v>
      </c>
      <c r="C393" t="s">
        <v>793</v>
      </c>
      <c r="D393" t="s">
        <v>794</v>
      </c>
      <c r="E393" t="s">
        <v>19</v>
      </c>
      <c r="F393">
        <v>3</v>
      </c>
      <c r="G393">
        <v>392.22899999999998</v>
      </c>
      <c r="H393">
        <v>1176.6876299999999</v>
      </c>
    </row>
    <row r="394" spans="1:8" hidden="1" x14ac:dyDescent="0.3">
      <c r="A394" t="s">
        <v>15</v>
      </c>
      <c r="B394" t="s">
        <v>354</v>
      </c>
      <c r="C394" t="s">
        <v>795</v>
      </c>
      <c r="D394" t="s">
        <v>796</v>
      </c>
      <c r="E394" t="s">
        <v>19</v>
      </c>
      <c r="F394">
        <v>2</v>
      </c>
      <c r="G394">
        <v>528.35</v>
      </c>
      <c r="H394">
        <v>1056.69994</v>
      </c>
    </row>
    <row r="395" spans="1:8" hidden="1" x14ac:dyDescent="0.3">
      <c r="A395" t="s">
        <v>15</v>
      </c>
      <c r="B395" t="s">
        <v>354</v>
      </c>
      <c r="C395" t="s">
        <v>797</v>
      </c>
      <c r="D395" t="s">
        <v>798</v>
      </c>
      <c r="E395" t="s">
        <v>19</v>
      </c>
      <c r="F395">
        <v>2</v>
      </c>
      <c r="G395">
        <v>296.00700000000001</v>
      </c>
      <c r="H395">
        <v>592.01368000000002</v>
      </c>
    </row>
    <row r="396" spans="1:8" hidden="1" x14ac:dyDescent="0.3">
      <c r="A396" t="s">
        <v>15</v>
      </c>
      <c r="B396" t="s">
        <v>354</v>
      </c>
      <c r="C396" t="s">
        <v>799</v>
      </c>
      <c r="D396" t="s">
        <v>800</v>
      </c>
      <c r="E396" t="s">
        <v>19</v>
      </c>
      <c r="F396">
        <v>2</v>
      </c>
      <c r="G396">
        <v>1996.84</v>
      </c>
      <c r="H396">
        <v>3993.68</v>
      </c>
    </row>
    <row r="397" spans="1:8" hidden="1" x14ac:dyDescent="0.3">
      <c r="A397" t="s">
        <v>15</v>
      </c>
      <c r="B397" t="s">
        <v>354</v>
      </c>
      <c r="C397" t="s">
        <v>801</v>
      </c>
      <c r="D397" t="s">
        <v>802</v>
      </c>
      <c r="E397" t="s">
        <v>19</v>
      </c>
      <c r="F397">
        <v>3</v>
      </c>
      <c r="G397">
        <v>990</v>
      </c>
      <c r="H397">
        <v>2970</v>
      </c>
    </row>
    <row r="398" spans="1:8" hidden="1" x14ac:dyDescent="0.3">
      <c r="A398" t="s">
        <v>15</v>
      </c>
      <c r="B398" t="s">
        <v>354</v>
      </c>
      <c r="C398" t="s">
        <v>803</v>
      </c>
      <c r="D398" t="s">
        <v>804</v>
      </c>
      <c r="E398" t="s">
        <v>19</v>
      </c>
      <c r="F398">
        <v>1</v>
      </c>
      <c r="G398">
        <v>5913</v>
      </c>
      <c r="H398">
        <v>5913</v>
      </c>
    </row>
    <row r="399" spans="1:8" hidden="1" x14ac:dyDescent="0.3">
      <c r="A399" t="s">
        <v>15</v>
      </c>
      <c r="B399" t="s">
        <v>354</v>
      </c>
      <c r="C399" t="s">
        <v>805</v>
      </c>
      <c r="D399" t="s">
        <v>806</v>
      </c>
      <c r="E399" t="s">
        <v>19</v>
      </c>
      <c r="F399">
        <v>2</v>
      </c>
      <c r="G399">
        <v>1011.332</v>
      </c>
      <c r="H399">
        <v>2022.6649199999999</v>
      </c>
    </row>
    <row r="400" spans="1:8" hidden="1" x14ac:dyDescent="0.3">
      <c r="A400" t="s">
        <v>15</v>
      </c>
      <c r="B400" t="s">
        <v>354</v>
      </c>
      <c r="C400" t="s">
        <v>807</v>
      </c>
      <c r="D400" t="s">
        <v>808</v>
      </c>
      <c r="E400" t="s">
        <v>19</v>
      </c>
      <c r="F400">
        <v>1</v>
      </c>
      <c r="G400">
        <v>591.6</v>
      </c>
      <c r="H400">
        <v>591.6</v>
      </c>
    </row>
    <row r="401" spans="1:8" hidden="1" x14ac:dyDescent="0.3">
      <c r="A401" t="s">
        <v>15</v>
      </c>
      <c r="B401" t="s">
        <v>354</v>
      </c>
      <c r="C401" t="s">
        <v>809</v>
      </c>
      <c r="D401" t="s">
        <v>810</v>
      </c>
      <c r="E401" t="s">
        <v>19</v>
      </c>
      <c r="F401">
        <v>5</v>
      </c>
      <c r="G401">
        <v>510</v>
      </c>
      <c r="H401">
        <v>2550</v>
      </c>
    </row>
    <row r="402" spans="1:8" hidden="1" x14ac:dyDescent="0.3">
      <c r="A402" t="s">
        <v>15</v>
      </c>
      <c r="B402" t="s">
        <v>354</v>
      </c>
      <c r="C402" t="s">
        <v>811</v>
      </c>
      <c r="D402" t="s">
        <v>812</v>
      </c>
      <c r="E402" t="s">
        <v>19</v>
      </c>
      <c r="F402">
        <v>1</v>
      </c>
      <c r="G402">
        <v>1077.75</v>
      </c>
      <c r="H402">
        <v>1077.75</v>
      </c>
    </row>
    <row r="403" spans="1:8" hidden="1" x14ac:dyDescent="0.3">
      <c r="A403" t="s">
        <v>15</v>
      </c>
      <c r="B403" t="s">
        <v>354</v>
      </c>
      <c r="C403" t="s">
        <v>813</v>
      </c>
      <c r="D403" t="s">
        <v>814</v>
      </c>
      <c r="E403" t="s">
        <v>19</v>
      </c>
      <c r="F403">
        <v>1</v>
      </c>
      <c r="G403">
        <v>516</v>
      </c>
      <c r="H403">
        <v>516</v>
      </c>
    </row>
    <row r="404" spans="1:8" hidden="1" x14ac:dyDescent="0.3">
      <c r="A404" t="s">
        <v>15</v>
      </c>
      <c r="B404" t="s">
        <v>354</v>
      </c>
      <c r="C404" t="s">
        <v>815</v>
      </c>
      <c r="D404" t="s">
        <v>816</v>
      </c>
      <c r="E404" t="s">
        <v>19</v>
      </c>
      <c r="F404">
        <v>1</v>
      </c>
      <c r="G404">
        <v>950</v>
      </c>
      <c r="H404">
        <v>950</v>
      </c>
    </row>
    <row r="405" spans="1:8" hidden="1" x14ac:dyDescent="0.3">
      <c r="A405" t="s">
        <v>15</v>
      </c>
      <c r="B405" t="s">
        <v>354</v>
      </c>
      <c r="C405" t="s">
        <v>817</v>
      </c>
      <c r="D405" t="s">
        <v>818</v>
      </c>
      <c r="E405" t="s">
        <v>19</v>
      </c>
      <c r="F405">
        <v>1</v>
      </c>
      <c r="G405">
        <v>0</v>
      </c>
      <c r="H405">
        <v>0</v>
      </c>
    </row>
    <row r="406" spans="1:8" hidden="1" x14ac:dyDescent="0.3">
      <c r="A406" t="s">
        <v>15</v>
      </c>
      <c r="B406" t="s">
        <v>354</v>
      </c>
      <c r="C406" t="s">
        <v>819</v>
      </c>
      <c r="D406" t="s">
        <v>820</v>
      </c>
      <c r="E406" t="s">
        <v>19</v>
      </c>
      <c r="F406">
        <v>1</v>
      </c>
      <c r="G406">
        <v>9965</v>
      </c>
      <c r="H406">
        <v>9965</v>
      </c>
    </row>
    <row r="407" spans="1:8" hidden="1" x14ac:dyDescent="0.3">
      <c r="A407" t="s">
        <v>15</v>
      </c>
      <c r="B407" t="s">
        <v>354</v>
      </c>
      <c r="C407" t="s">
        <v>821</v>
      </c>
      <c r="D407" t="s">
        <v>822</v>
      </c>
      <c r="E407" t="s">
        <v>19</v>
      </c>
      <c r="F407">
        <v>1</v>
      </c>
      <c r="G407">
        <v>280</v>
      </c>
      <c r="H407">
        <v>280</v>
      </c>
    </row>
    <row r="408" spans="1:8" hidden="1" x14ac:dyDescent="0.3">
      <c r="A408" t="s">
        <v>15</v>
      </c>
      <c r="B408" t="s">
        <v>354</v>
      </c>
      <c r="C408" t="s">
        <v>823</v>
      </c>
      <c r="D408" t="s">
        <v>824</v>
      </c>
      <c r="E408" t="s">
        <v>19</v>
      </c>
      <c r="F408">
        <v>1</v>
      </c>
      <c r="G408">
        <v>1912</v>
      </c>
      <c r="H408">
        <v>1912</v>
      </c>
    </row>
    <row r="409" spans="1:8" hidden="1" x14ac:dyDescent="0.3">
      <c r="A409" t="s">
        <v>15</v>
      </c>
      <c r="B409" t="s">
        <v>354</v>
      </c>
      <c r="C409" t="s">
        <v>825</v>
      </c>
      <c r="D409" t="s">
        <v>826</v>
      </c>
      <c r="E409" t="s">
        <v>19</v>
      </c>
      <c r="F409">
        <v>1</v>
      </c>
      <c r="G409">
        <v>3270.7449999999999</v>
      </c>
      <c r="H409">
        <v>3270.74476</v>
      </c>
    </row>
    <row r="410" spans="1:8" hidden="1" x14ac:dyDescent="0.3">
      <c r="A410" t="s">
        <v>15</v>
      </c>
      <c r="B410" t="s">
        <v>827</v>
      </c>
      <c r="C410" t="s">
        <v>828</v>
      </c>
      <c r="D410" t="s">
        <v>829</v>
      </c>
      <c r="E410" t="s">
        <v>830</v>
      </c>
      <c r="F410">
        <v>3.2000000000000001E-2</v>
      </c>
      <c r="G410">
        <v>35316.408000000003</v>
      </c>
      <c r="H410">
        <v>1130.1250399999999</v>
      </c>
    </row>
    <row r="411" spans="1:8" hidden="1" x14ac:dyDescent="0.3">
      <c r="A411" t="s">
        <v>15</v>
      </c>
      <c r="B411" t="s">
        <v>827</v>
      </c>
      <c r="C411" t="s">
        <v>831</v>
      </c>
      <c r="D411" t="s">
        <v>832</v>
      </c>
      <c r="E411" t="s">
        <v>19</v>
      </c>
      <c r="F411">
        <v>2</v>
      </c>
      <c r="G411">
        <v>87.058999999999997</v>
      </c>
      <c r="H411">
        <v>174.11763999999999</v>
      </c>
    </row>
    <row r="412" spans="1:8" hidden="1" x14ac:dyDescent="0.3">
      <c r="A412" t="s">
        <v>15</v>
      </c>
      <c r="B412" t="s">
        <v>827</v>
      </c>
      <c r="C412" t="s">
        <v>833</v>
      </c>
      <c r="D412" t="s">
        <v>834</v>
      </c>
      <c r="E412" t="s">
        <v>19</v>
      </c>
      <c r="F412">
        <v>85</v>
      </c>
      <c r="G412">
        <v>173.88749999999999</v>
      </c>
      <c r="H412">
        <v>14804</v>
      </c>
    </row>
    <row r="413" spans="1:8" hidden="1" x14ac:dyDescent="0.3">
      <c r="A413" t="s">
        <v>15</v>
      </c>
      <c r="B413" t="s">
        <v>827</v>
      </c>
      <c r="C413" t="s">
        <v>835</v>
      </c>
      <c r="D413" t="s">
        <v>836</v>
      </c>
      <c r="E413" t="s">
        <v>19</v>
      </c>
      <c r="F413">
        <v>45</v>
      </c>
      <c r="G413">
        <v>146.79675</v>
      </c>
      <c r="H413">
        <v>7024.8005000000003</v>
      </c>
    </row>
    <row r="414" spans="1:8" hidden="1" x14ac:dyDescent="0.3">
      <c r="A414" t="s">
        <v>15</v>
      </c>
      <c r="B414" t="s">
        <v>827</v>
      </c>
      <c r="C414" t="s">
        <v>837</v>
      </c>
      <c r="D414" t="s">
        <v>838</v>
      </c>
      <c r="E414" t="s">
        <v>19</v>
      </c>
      <c r="F414">
        <v>1</v>
      </c>
      <c r="G414">
        <v>24127.752</v>
      </c>
      <c r="H414">
        <v>24127.751939999998</v>
      </c>
    </row>
    <row r="415" spans="1:8" hidden="1" x14ac:dyDescent="0.3">
      <c r="A415" t="s">
        <v>15</v>
      </c>
      <c r="B415" t="s">
        <v>827</v>
      </c>
      <c r="C415" t="s">
        <v>839</v>
      </c>
      <c r="D415" t="s">
        <v>840</v>
      </c>
      <c r="E415" t="s">
        <v>19</v>
      </c>
      <c r="F415">
        <v>1</v>
      </c>
      <c r="G415">
        <v>1330.2380000000001</v>
      </c>
      <c r="H415">
        <v>1330.2381499999999</v>
      </c>
    </row>
    <row r="416" spans="1:8" hidden="1" x14ac:dyDescent="0.3">
      <c r="A416" t="s">
        <v>15</v>
      </c>
      <c r="B416" t="s">
        <v>827</v>
      </c>
      <c r="C416" t="s">
        <v>841</v>
      </c>
      <c r="D416" t="s">
        <v>842</v>
      </c>
      <c r="E416" t="s">
        <v>19</v>
      </c>
      <c r="F416">
        <v>2</v>
      </c>
      <c r="G416">
        <v>20745.253000000001</v>
      </c>
      <c r="H416">
        <v>41490.505380000002</v>
      </c>
    </row>
    <row r="417" spans="1:8" hidden="1" x14ac:dyDescent="0.3">
      <c r="A417" t="s">
        <v>15</v>
      </c>
      <c r="B417" t="s">
        <v>827</v>
      </c>
      <c r="C417" t="s">
        <v>843</v>
      </c>
      <c r="D417" t="s">
        <v>844</v>
      </c>
      <c r="E417" t="s">
        <v>19</v>
      </c>
      <c r="F417">
        <v>1</v>
      </c>
      <c r="G417">
        <v>38287.531999999999</v>
      </c>
      <c r="H417">
        <v>38287.531739999999</v>
      </c>
    </row>
    <row r="418" spans="1:8" hidden="1" x14ac:dyDescent="0.3">
      <c r="A418" t="s">
        <v>15</v>
      </c>
      <c r="B418" t="s">
        <v>827</v>
      </c>
      <c r="C418" t="s">
        <v>845</v>
      </c>
      <c r="D418" t="s">
        <v>846</v>
      </c>
      <c r="E418" t="s">
        <v>19</v>
      </c>
      <c r="F418">
        <v>3</v>
      </c>
      <c r="G418">
        <v>2290</v>
      </c>
      <c r="H418">
        <v>6870</v>
      </c>
    </row>
    <row r="419" spans="1:8" hidden="1" x14ac:dyDescent="0.3">
      <c r="A419" t="s">
        <v>15</v>
      </c>
      <c r="B419" t="s">
        <v>827</v>
      </c>
      <c r="C419" t="s">
        <v>847</v>
      </c>
      <c r="D419" t="s">
        <v>848</v>
      </c>
      <c r="E419" t="s">
        <v>19</v>
      </c>
      <c r="F419">
        <v>2</v>
      </c>
      <c r="G419">
        <v>14300</v>
      </c>
      <c r="H419">
        <v>28600</v>
      </c>
    </row>
    <row r="420" spans="1:8" hidden="1" x14ac:dyDescent="0.3">
      <c r="A420" t="s">
        <v>15</v>
      </c>
      <c r="B420" t="s">
        <v>827</v>
      </c>
      <c r="C420" t="s">
        <v>849</v>
      </c>
      <c r="D420" t="s">
        <v>850</v>
      </c>
      <c r="E420" t="s">
        <v>19</v>
      </c>
      <c r="F420">
        <v>3</v>
      </c>
      <c r="G420">
        <v>4070.8110000000001</v>
      </c>
      <c r="H420">
        <v>12212.43297</v>
      </c>
    </row>
    <row r="421" spans="1:8" hidden="1" x14ac:dyDescent="0.3">
      <c r="A421" t="s">
        <v>15</v>
      </c>
      <c r="B421" t="s">
        <v>827</v>
      </c>
      <c r="C421" t="s">
        <v>851</v>
      </c>
      <c r="D421" t="s">
        <v>852</v>
      </c>
      <c r="E421" t="s">
        <v>210</v>
      </c>
      <c r="F421">
        <v>1</v>
      </c>
      <c r="G421">
        <v>25392.452000000001</v>
      </c>
      <c r="H421">
        <v>25392.451509999999</v>
      </c>
    </row>
    <row r="422" spans="1:8" hidden="1" x14ac:dyDescent="0.3">
      <c r="A422" t="s">
        <v>15</v>
      </c>
      <c r="B422" t="s">
        <v>827</v>
      </c>
      <c r="C422" t="s">
        <v>853</v>
      </c>
      <c r="D422" t="s">
        <v>854</v>
      </c>
      <c r="E422" t="s">
        <v>19</v>
      </c>
      <c r="F422">
        <v>2</v>
      </c>
      <c r="G422">
        <v>2895.2240000000002</v>
      </c>
      <c r="H422">
        <v>5790.4484199999997</v>
      </c>
    </row>
    <row r="423" spans="1:8" hidden="1" x14ac:dyDescent="0.3">
      <c r="A423" t="s">
        <v>15</v>
      </c>
      <c r="B423" t="s">
        <v>827</v>
      </c>
      <c r="C423" t="s">
        <v>855</v>
      </c>
      <c r="D423" t="s">
        <v>856</v>
      </c>
      <c r="E423" t="s">
        <v>19</v>
      </c>
      <c r="F423">
        <v>1</v>
      </c>
      <c r="G423">
        <v>3364.72</v>
      </c>
      <c r="H423">
        <v>3364.72003</v>
      </c>
    </row>
    <row r="424" spans="1:8" hidden="1" x14ac:dyDescent="0.3">
      <c r="A424" t="s">
        <v>15</v>
      </c>
      <c r="B424" t="s">
        <v>827</v>
      </c>
      <c r="C424" t="s">
        <v>857</v>
      </c>
      <c r="D424" t="s">
        <v>858</v>
      </c>
      <c r="E424" t="s">
        <v>19</v>
      </c>
      <c r="F424">
        <v>55</v>
      </c>
      <c r="G424">
        <v>171.76266666666601</v>
      </c>
      <c r="H424">
        <v>9450.1784000000007</v>
      </c>
    </row>
    <row r="425" spans="1:8" hidden="1" x14ac:dyDescent="0.3">
      <c r="A425" t="s">
        <v>15</v>
      </c>
      <c r="B425" t="s">
        <v>827</v>
      </c>
      <c r="C425" t="s">
        <v>859</v>
      </c>
      <c r="D425" t="s">
        <v>860</v>
      </c>
      <c r="E425" t="s">
        <v>19</v>
      </c>
      <c r="F425">
        <v>1</v>
      </c>
      <c r="G425">
        <v>24375</v>
      </c>
      <c r="H425">
        <v>24375</v>
      </c>
    </row>
    <row r="426" spans="1:8" hidden="1" x14ac:dyDescent="0.3">
      <c r="A426" t="s">
        <v>15</v>
      </c>
      <c r="B426" t="s">
        <v>827</v>
      </c>
      <c r="C426" t="s">
        <v>861</v>
      </c>
      <c r="D426" t="s">
        <v>862</v>
      </c>
      <c r="E426" t="s">
        <v>210</v>
      </c>
      <c r="F426">
        <v>1</v>
      </c>
      <c r="G426">
        <v>54457.902999999998</v>
      </c>
      <c r="H426">
        <v>54457.902540000003</v>
      </c>
    </row>
    <row r="427" spans="1:8" hidden="1" x14ac:dyDescent="0.3">
      <c r="A427" t="s">
        <v>15</v>
      </c>
      <c r="B427" t="s">
        <v>827</v>
      </c>
      <c r="C427" t="s">
        <v>863</v>
      </c>
      <c r="D427" t="s">
        <v>864</v>
      </c>
      <c r="E427" t="s">
        <v>19</v>
      </c>
      <c r="F427">
        <v>1</v>
      </c>
      <c r="G427">
        <v>22745.78</v>
      </c>
      <c r="H427">
        <v>22745.780139999999</v>
      </c>
    </row>
    <row r="428" spans="1:8" hidden="1" x14ac:dyDescent="0.3">
      <c r="A428" t="s">
        <v>15</v>
      </c>
      <c r="B428" t="s">
        <v>827</v>
      </c>
      <c r="C428" t="s">
        <v>865</v>
      </c>
      <c r="D428" t="s">
        <v>866</v>
      </c>
      <c r="E428" t="s">
        <v>19</v>
      </c>
      <c r="F428">
        <v>30</v>
      </c>
      <c r="G428">
        <v>140.91083333333299</v>
      </c>
      <c r="H428">
        <v>4213.5502200000001</v>
      </c>
    </row>
    <row r="429" spans="1:8" hidden="1" x14ac:dyDescent="0.3">
      <c r="A429" t="s">
        <v>15</v>
      </c>
      <c r="B429" t="s">
        <v>827</v>
      </c>
      <c r="C429" t="s">
        <v>867</v>
      </c>
      <c r="D429" t="s">
        <v>868</v>
      </c>
      <c r="E429" t="s">
        <v>19</v>
      </c>
      <c r="F429">
        <v>1</v>
      </c>
      <c r="G429">
        <v>4.76</v>
      </c>
      <c r="H429">
        <v>4.7602799999999998</v>
      </c>
    </row>
    <row r="430" spans="1:8" hidden="1" x14ac:dyDescent="0.3">
      <c r="A430" t="s">
        <v>15</v>
      </c>
      <c r="B430" t="s">
        <v>827</v>
      </c>
      <c r="C430" t="s">
        <v>869</v>
      </c>
      <c r="D430" t="s">
        <v>870</v>
      </c>
      <c r="E430" t="s">
        <v>210</v>
      </c>
      <c r="F430">
        <v>8</v>
      </c>
      <c r="G430">
        <v>103.113</v>
      </c>
      <c r="H430">
        <v>824.90440000000001</v>
      </c>
    </row>
    <row r="431" spans="1:8" hidden="1" x14ac:dyDescent="0.3">
      <c r="A431" t="s">
        <v>15</v>
      </c>
      <c r="B431" t="s">
        <v>827</v>
      </c>
      <c r="C431" t="s">
        <v>871</v>
      </c>
      <c r="D431" t="s">
        <v>872</v>
      </c>
      <c r="E431" t="s">
        <v>19</v>
      </c>
      <c r="F431">
        <v>5</v>
      </c>
      <c r="G431">
        <v>64.212999999999994</v>
      </c>
      <c r="H431">
        <v>321.06545</v>
      </c>
    </row>
    <row r="432" spans="1:8" hidden="1" x14ac:dyDescent="0.3">
      <c r="A432" t="s">
        <v>15</v>
      </c>
      <c r="B432" t="s">
        <v>827</v>
      </c>
      <c r="C432" t="s">
        <v>873</v>
      </c>
      <c r="D432" t="s">
        <v>874</v>
      </c>
      <c r="E432" t="s">
        <v>19</v>
      </c>
      <c r="F432">
        <v>10</v>
      </c>
      <c r="G432">
        <v>338.27699999999999</v>
      </c>
      <c r="H432">
        <v>3382.7674000000002</v>
      </c>
    </row>
    <row r="433" spans="1:8" hidden="1" x14ac:dyDescent="0.3">
      <c r="A433" t="s">
        <v>15</v>
      </c>
      <c r="B433" t="s">
        <v>827</v>
      </c>
      <c r="C433" t="s">
        <v>875</v>
      </c>
      <c r="D433" t="s">
        <v>876</v>
      </c>
      <c r="E433" t="s">
        <v>19</v>
      </c>
      <c r="F433">
        <v>4</v>
      </c>
      <c r="G433">
        <v>192.471</v>
      </c>
      <c r="H433">
        <v>769.88576</v>
      </c>
    </row>
    <row r="434" spans="1:8" hidden="1" x14ac:dyDescent="0.3">
      <c r="A434" t="s">
        <v>15</v>
      </c>
      <c r="B434" t="s">
        <v>827</v>
      </c>
      <c r="C434" t="s">
        <v>877</v>
      </c>
      <c r="D434" t="s">
        <v>878</v>
      </c>
      <c r="E434" t="s">
        <v>210</v>
      </c>
      <c r="F434">
        <v>8</v>
      </c>
      <c r="G434">
        <v>39.774000000000001</v>
      </c>
      <c r="H434">
        <v>318.18815999999998</v>
      </c>
    </row>
    <row r="435" spans="1:8" hidden="1" x14ac:dyDescent="0.3">
      <c r="A435" t="s">
        <v>15</v>
      </c>
      <c r="B435" t="s">
        <v>827</v>
      </c>
      <c r="C435" t="s">
        <v>879</v>
      </c>
      <c r="D435" t="s">
        <v>880</v>
      </c>
      <c r="E435" t="s">
        <v>210</v>
      </c>
      <c r="F435">
        <v>20</v>
      </c>
      <c r="G435">
        <v>11.198</v>
      </c>
      <c r="H435">
        <v>223.9606</v>
      </c>
    </row>
    <row r="436" spans="1:8" hidden="1" x14ac:dyDescent="0.3">
      <c r="A436" t="s">
        <v>15</v>
      </c>
      <c r="B436" t="s">
        <v>827</v>
      </c>
      <c r="C436" t="s">
        <v>881</v>
      </c>
      <c r="D436" t="s">
        <v>882</v>
      </c>
      <c r="E436" t="s">
        <v>19</v>
      </c>
      <c r="F436">
        <v>16</v>
      </c>
      <c r="G436">
        <v>28.529</v>
      </c>
      <c r="H436">
        <v>456.46096</v>
      </c>
    </row>
    <row r="437" spans="1:8" hidden="1" x14ac:dyDescent="0.3">
      <c r="A437" t="s">
        <v>15</v>
      </c>
      <c r="B437" t="s">
        <v>827</v>
      </c>
      <c r="C437" t="s">
        <v>883</v>
      </c>
      <c r="D437" t="s">
        <v>884</v>
      </c>
      <c r="E437" t="s">
        <v>19</v>
      </c>
      <c r="F437">
        <v>5</v>
      </c>
      <c r="G437">
        <v>34.566000000000003</v>
      </c>
      <c r="H437">
        <v>172.82759999999999</v>
      </c>
    </row>
    <row r="438" spans="1:8" hidden="1" x14ac:dyDescent="0.3">
      <c r="A438" t="s">
        <v>15</v>
      </c>
      <c r="B438" t="s">
        <v>827</v>
      </c>
      <c r="C438" t="s">
        <v>885</v>
      </c>
      <c r="D438" t="s">
        <v>886</v>
      </c>
      <c r="E438" t="s">
        <v>233</v>
      </c>
      <c r="F438">
        <v>1</v>
      </c>
      <c r="G438">
        <v>72.421999999999997</v>
      </c>
      <c r="H438">
        <v>72.422210000000007</v>
      </c>
    </row>
    <row r="439" spans="1:8" hidden="1" x14ac:dyDescent="0.3">
      <c r="A439" t="s">
        <v>15</v>
      </c>
      <c r="B439" t="s">
        <v>827</v>
      </c>
      <c r="C439" t="s">
        <v>887</v>
      </c>
      <c r="D439" t="s">
        <v>888</v>
      </c>
      <c r="E439" t="s">
        <v>233</v>
      </c>
      <c r="F439">
        <v>1</v>
      </c>
      <c r="G439">
        <v>111.033</v>
      </c>
      <c r="H439">
        <v>111.03270000000001</v>
      </c>
    </row>
    <row r="440" spans="1:8" hidden="1" x14ac:dyDescent="0.3">
      <c r="A440" t="s">
        <v>15</v>
      </c>
      <c r="B440" t="s">
        <v>827</v>
      </c>
      <c r="C440" t="s">
        <v>889</v>
      </c>
      <c r="D440" t="s">
        <v>890</v>
      </c>
      <c r="E440" t="s">
        <v>233</v>
      </c>
      <c r="F440">
        <v>7</v>
      </c>
      <c r="G440">
        <v>81.013999999999996</v>
      </c>
      <c r="H440">
        <v>568.67370000000005</v>
      </c>
    </row>
    <row r="441" spans="1:8" hidden="1" x14ac:dyDescent="0.3">
      <c r="A441" t="s">
        <v>15</v>
      </c>
      <c r="B441" t="s">
        <v>827</v>
      </c>
      <c r="C441" t="s">
        <v>891</v>
      </c>
      <c r="D441" t="s">
        <v>892</v>
      </c>
      <c r="E441" t="s">
        <v>233</v>
      </c>
      <c r="F441">
        <v>3</v>
      </c>
      <c r="G441">
        <v>74.682000000000002</v>
      </c>
      <c r="H441">
        <v>224.04468</v>
      </c>
    </row>
    <row r="442" spans="1:8" hidden="1" x14ac:dyDescent="0.3">
      <c r="A442" t="s">
        <v>15</v>
      </c>
      <c r="B442" t="s">
        <v>827</v>
      </c>
      <c r="C442" t="s">
        <v>893</v>
      </c>
      <c r="D442" t="s">
        <v>894</v>
      </c>
      <c r="E442" t="s">
        <v>233</v>
      </c>
      <c r="F442">
        <v>16</v>
      </c>
      <c r="G442">
        <v>74.846999999999994</v>
      </c>
      <c r="H442">
        <v>1197.54477</v>
      </c>
    </row>
    <row r="443" spans="1:8" hidden="1" x14ac:dyDescent="0.3">
      <c r="A443" t="s">
        <v>15</v>
      </c>
      <c r="B443" t="s">
        <v>827</v>
      </c>
      <c r="C443" t="s">
        <v>895</v>
      </c>
      <c r="D443" t="s">
        <v>896</v>
      </c>
      <c r="E443" t="s">
        <v>233</v>
      </c>
      <c r="F443">
        <v>5</v>
      </c>
      <c r="G443">
        <v>65.024000000000001</v>
      </c>
      <c r="H443">
        <v>325.11869999999999</v>
      </c>
    </row>
    <row r="444" spans="1:8" hidden="1" x14ac:dyDescent="0.3">
      <c r="A444" t="s">
        <v>15</v>
      </c>
      <c r="B444" t="s">
        <v>827</v>
      </c>
      <c r="C444" t="s">
        <v>897</v>
      </c>
      <c r="D444" t="s">
        <v>898</v>
      </c>
      <c r="E444" t="s">
        <v>233</v>
      </c>
      <c r="F444">
        <v>8</v>
      </c>
      <c r="G444">
        <v>83.808000000000007</v>
      </c>
      <c r="H444">
        <v>670.46560999999997</v>
      </c>
    </row>
    <row r="445" spans="1:8" hidden="1" x14ac:dyDescent="0.3">
      <c r="A445" t="s">
        <v>15</v>
      </c>
      <c r="B445" t="s">
        <v>827</v>
      </c>
      <c r="C445" t="s">
        <v>899</v>
      </c>
      <c r="D445" t="s">
        <v>900</v>
      </c>
      <c r="E445" t="s">
        <v>233</v>
      </c>
      <c r="F445">
        <v>2</v>
      </c>
      <c r="G445">
        <v>65.585999999999999</v>
      </c>
      <c r="H445">
        <v>131.17205999999999</v>
      </c>
    </row>
    <row r="446" spans="1:8" hidden="1" x14ac:dyDescent="0.3">
      <c r="A446" t="s">
        <v>15</v>
      </c>
      <c r="B446" t="s">
        <v>827</v>
      </c>
      <c r="C446" t="s">
        <v>901</v>
      </c>
      <c r="D446" t="s">
        <v>902</v>
      </c>
      <c r="E446" t="s">
        <v>233</v>
      </c>
      <c r="F446">
        <v>2</v>
      </c>
      <c r="G446">
        <v>89.7</v>
      </c>
      <c r="H446">
        <v>179.3998</v>
      </c>
    </row>
    <row r="447" spans="1:8" hidden="1" x14ac:dyDescent="0.3">
      <c r="A447" t="s">
        <v>15</v>
      </c>
      <c r="B447" t="s">
        <v>827</v>
      </c>
      <c r="C447" t="s">
        <v>903</v>
      </c>
      <c r="D447" t="s">
        <v>904</v>
      </c>
      <c r="E447" t="s">
        <v>233</v>
      </c>
      <c r="F447">
        <v>3.5</v>
      </c>
      <c r="G447">
        <v>83.563999999999993</v>
      </c>
      <c r="H447">
        <v>292.47348</v>
      </c>
    </row>
    <row r="448" spans="1:8" hidden="1" x14ac:dyDescent="0.3">
      <c r="A448" t="s">
        <v>15</v>
      </c>
      <c r="B448" t="s">
        <v>827</v>
      </c>
      <c r="C448" t="s">
        <v>905</v>
      </c>
      <c r="D448" t="s">
        <v>906</v>
      </c>
      <c r="E448" t="s">
        <v>233</v>
      </c>
      <c r="F448">
        <v>1</v>
      </c>
      <c r="G448">
        <v>83.563999999999993</v>
      </c>
      <c r="H448">
        <v>83.563850000000002</v>
      </c>
    </row>
    <row r="449" spans="1:8" hidden="1" x14ac:dyDescent="0.3">
      <c r="A449" t="s">
        <v>15</v>
      </c>
      <c r="B449" t="s">
        <v>827</v>
      </c>
      <c r="C449" t="s">
        <v>907</v>
      </c>
      <c r="D449" t="s">
        <v>908</v>
      </c>
      <c r="E449" t="s">
        <v>233</v>
      </c>
      <c r="F449">
        <v>11</v>
      </c>
      <c r="G449">
        <v>79.680666666666596</v>
      </c>
      <c r="H449">
        <v>892.60936000000004</v>
      </c>
    </row>
    <row r="450" spans="1:8" hidden="1" x14ac:dyDescent="0.3">
      <c r="A450" t="s">
        <v>15</v>
      </c>
      <c r="B450" t="s">
        <v>827</v>
      </c>
      <c r="C450" t="s">
        <v>909</v>
      </c>
      <c r="D450" t="s">
        <v>910</v>
      </c>
      <c r="E450" t="s">
        <v>233</v>
      </c>
      <c r="F450">
        <v>9</v>
      </c>
      <c r="G450">
        <v>73.272000000000006</v>
      </c>
      <c r="H450">
        <v>659.45213999999999</v>
      </c>
    </row>
    <row r="451" spans="1:8" hidden="1" x14ac:dyDescent="0.3">
      <c r="A451" t="s">
        <v>15</v>
      </c>
      <c r="B451" t="s">
        <v>827</v>
      </c>
      <c r="C451" t="s">
        <v>911</v>
      </c>
      <c r="D451" t="s">
        <v>912</v>
      </c>
      <c r="E451" t="s">
        <v>233</v>
      </c>
      <c r="F451">
        <v>3</v>
      </c>
      <c r="G451">
        <v>77.741</v>
      </c>
      <c r="H451">
        <v>233.22443999999999</v>
      </c>
    </row>
    <row r="452" spans="1:8" hidden="1" x14ac:dyDescent="0.3">
      <c r="A452" t="s">
        <v>15</v>
      </c>
      <c r="B452" t="s">
        <v>827</v>
      </c>
      <c r="C452" t="s">
        <v>913</v>
      </c>
      <c r="D452" t="s">
        <v>914</v>
      </c>
      <c r="E452" t="s">
        <v>19</v>
      </c>
      <c r="F452">
        <v>1</v>
      </c>
      <c r="G452">
        <v>37.36</v>
      </c>
      <c r="H452">
        <v>37.36</v>
      </c>
    </row>
    <row r="453" spans="1:8" hidden="1" x14ac:dyDescent="0.3">
      <c r="A453" t="s">
        <v>15</v>
      </c>
      <c r="B453" t="s">
        <v>827</v>
      </c>
      <c r="C453" t="s">
        <v>915</v>
      </c>
      <c r="D453" t="s">
        <v>916</v>
      </c>
      <c r="E453" t="s">
        <v>19</v>
      </c>
      <c r="F453">
        <v>4</v>
      </c>
      <c r="G453">
        <v>669</v>
      </c>
      <c r="H453">
        <v>2676</v>
      </c>
    </row>
    <row r="454" spans="1:8" hidden="1" x14ac:dyDescent="0.3">
      <c r="A454" t="s">
        <v>15</v>
      </c>
      <c r="B454" t="s">
        <v>827</v>
      </c>
      <c r="C454" t="s">
        <v>917</v>
      </c>
      <c r="D454" t="s">
        <v>918</v>
      </c>
      <c r="E454" t="s">
        <v>19</v>
      </c>
      <c r="F454">
        <v>3</v>
      </c>
      <c r="G454">
        <v>259.03199999999998</v>
      </c>
      <c r="H454">
        <v>777.09677999999997</v>
      </c>
    </row>
    <row r="455" spans="1:8" hidden="1" x14ac:dyDescent="0.3">
      <c r="A455" t="s">
        <v>15</v>
      </c>
      <c r="B455" t="s">
        <v>827</v>
      </c>
      <c r="C455" t="s">
        <v>919</v>
      </c>
      <c r="D455" t="s">
        <v>920</v>
      </c>
      <c r="E455" t="s">
        <v>19</v>
      </c>
      <c r="F455">
        <v>4</v>
      </c>
      <c r="G455">
        <v>390</v>
      </c>
      <c r="H455">
        <v>1560</v>
      </c>
    </row>
    <row r="456" spans="1:8" hidden="1" x14ac:dyDescent="0.3">
      <c r="A456" t="s">
        <v>15</v>
      </c>
      <c r="B456" t="s">
        <v>827</v>
      </c>
      <c r="C456" t="s">
        <v>921</v>
      </c>
      <c r="D456" t="s">
        <v>922</v>
      </c>
      <c r="E456" t="s">
        <v>293</v>
      </c>
      <c r="F456">
        <v>20</v>
      </c>
      <c r="G456">
        <v>171.61500000000001</v>
      </c>
      <c r="H456">
        <v>3432.2928000000002</v>
      </c>
    </row>
    <row r="457" spans="1:8" hidden="1" x14ac:dyDescent="0.3">
      <c r="A457" t="s">
        <v>15</v>
      </c>
      <c r="B457" t="s">
        <v>827</v>
      </c>
      <c r="C457" t="s">
        <v>923</v>
      </c>
      <c r="D457" t="s">
        <v>924</v>
      </c>
      <c r="E457" t="s">
        <v>19</v>
      </c>
      <c r="F457">
        <v>8</v>
      </c>
      <c r="G457">
        <v>112.17449999999999</v>
      </c>
      <c r="H457">
        <v>897.39453000000003</v>
      </c>
    </row>
    <row r="458" spans="1:8" hidden="1" x14ac:dyDescent="0.3">
      <c r="A458" t="s">
        <v>15</v>
      </c>
      <c r="B458" t="s">
        <v>827</v>
      </c>
      <c r="C458" t="s">
        <v>925</v>
      </c>
      <c r="D458" t="s">
        <v>926</v>
      </c>
      <c r="E458" t="s">
        <v>293</v>
      </c>
      <c r="F458">
        <v>20</v>
      </c>
      <c r="G458">
        <v>171.61500000000001</v>
      </c>
      <c r="H458">
        <v>3432.2928000000002</v>
      </c>
    </row>
    <row r="459" spans="1:8" hidden="1" x14ac:dyDescent="0.3">
      <c r="A459" t="s">
        <v>15</v>
      </c>
      <c r="B459" t="s">
        <v>827</v>
      </c>
      <c r="C459" t="s">
        <v>927</v>
      </c>
      <c r="D459" t="s">
        <v>928</v>
      </c>
      <c r="E459" t="s">
        <v>293</v>
      </c>
      <c r="F459">
        <v>20</v>
      </c>
      <c r="G459">
        <v>175.38399999999999</v>
      </c>
      <c r="H459">
        <v>3507.6756</v>
      </c>
    </row>
    <row r="460" spans="1:8" hidden="1" x14ac:dyDescent="0.3">
      <c r="A460" t="s">
        <v>15</v>
      </c>
      <c r="B460" t="s">
        <v>827</v>
      </c>
      <c r="C460" t="s">
        <v>929</v>
      </c>
      <c r="D460" t="s">
        <v>930</v>
      </c>
      <c r="E460" t="s">
        <v>293</v>
      </c>
      <c r="F460">
        <v>40</v>
      </c>
      <c r="G460">
        <v>172.23500000000001</v>
      </c>
      <c r="H460">
        <v>6889.4096</v>
      </c>
    </row>
    <row r="461" spans="1:8" hidden="1" x14ac:dyDescent="0.3">
      <c r="A461" t="s">
        <v>15</v>
      </c>
      <c r="B461" t="s">
        <v>827</v>
      </c>
      <c r="C461" t="s">
        <v>931</v>
      </c>
      <c r="D461" t="s">
        <v>932</v>
      </c>
      <c r="E461" t="s">
        <v>19</v>
      </c>
      <c r="F461">
        <v>25</v>
      </c>
      <c r="G461">
        <v>46.8</v>
      </c>
      <c r="H461">
        <v>1170</v>
      </c>
    </row>
    <row r="462" spans="1:8" hidden="1" x14ac:dyDescent="0.3">
      <c r="A462" t="s">
        <v>15</v>
      </c>
      <c r="B462" t="s">
        <v>827</v>
      </c>
      <c r="C462" t="s">
        <v>933</v>
      </c>
      <c r="D462" t="s">
        <v>934</v>
      </c>
      <c r="E462" t="s">
        <v>19</v>
      </c>
      <c r="F462">
        <v>20</v>
      </c>
      <c r="G462">
        <v>16</v>
      </c>
      <c r="H462">
        <v>320</v>
      </c>
    </row>
    <row r="463" spans="1:8" hidden="1" x14ac:dyDescent="0.3">
      <c r="A463" t="s">
        <v>15</v>
      </c>
      <c r="B463" t="s">
        <v>827</v>
      </c>
      <c r="C463" t="s">
        <v>935</v>
      </c>
      <c r="D463" t="s">
        <v>936</v>
      </c>
      <c r="E463" t="s">
        <v>19</v>
      </c>
      <c r="F463">
        <v>2</v>
      </c>
      <c r="G463">
        <v>123.54</v>
      </c>
      <c r="H463">
        <v>247.08</v>
      </c>
    </row>
    <row r="464" spans="1:8" hidden="1" x14ac:dyDescent="0.3">
      <c r="A464" t="s">
        <v>15</v>
      </c>
      <c r="B464" t="s">
        <v>827</v>
      </c>
      <c r="C464" t="s">
        <v>937</v>
      </c>
      <c r="D464" t="s">
        <v>938</v>
      </c>
      <c r="E464" t="s">
        <v>19</v>
      </c>
      <c r="F464">
        <v>2</v>
      </c>
      <c r="G464">
        <v>176.09700000000001</v>
      </c>
      <c r="H464">
        <v>352.19479999999999</v>
      </c>
    </row>
    <row r="465" spans="1:8" hidden="1" x14ac:dyDescent="0.3">
      <c r="A465" t="s">
        <v>15</v>
      </c>
      <c r="B465" t="s">
        <v>827</v>
      </c>
      <c r="C465" t="s">
        <v>939</v>
      </c>
      <c r="D465" t="s">
        <v>940</v>
      </c>
      <c r="E465" t="s">
        <v>19</v>
      </c>
      <c r="F465">
        <v>4</v>
      </c>
      <c r="G465">
        <v>51.335000000000001</v>
      </c>
      <c r="H465">
        <v>205.33860000000001</v>
      </c>
    </row>
    <row r="466" spans="1:8" hidden="1" x14ac:dyDescent="0.3">
      <c r="A466" t="s">
        <v>15</v>
      </c>
      <c r="B466" t="s">
        <v>827</v>
      </c>
      <c r="C466" t="s">
        <v>941</v>
      </c>
      <c r="D466" t="s">
        <v>942</v>
      </c>
      <c r="E466" t="s">
        <v>19</v>
      </c>
      <c r="F466">
        <v>6</v>
      </c>
      <c r="G466">
        <v>74.457999999999998</v>
      </c>
      <c r="H466">
        <v>446.74673999999999</v>
      </c>
    </row>
    <row r="467" spans="1:8" hidden="1" x14ac:dyDescent="0.3">
      <c r="A467" t="s">
        <v>15</v>
      </c>
      <c r="B467" t="s">
        <v>827</v>
      </c>
      <c r="C467" t="s">
        <v>943</v>
      </c>
      <c r="D467" t="s">
        <v>944</v>
      </c>
      <c r="E467" t="s">
        <v>945</v>
      </c>
      <c r="F467">
        <v>2</v>
      </c>
      <c r="G467">
        <v>261.66199999999998</v>
      </c>
      <c r="H467">
        <v>523.32403999999997</v>
      </c>
    </row>
    <row r="468" spans="1:8" hidden="1" x14ac:dyDescent="0.3">
      <c r="A468" t="s">
        <v>15</v>
      </c>
      <c r="B468" t="s">
        <v>827</v>
      </c>
      <c r="C468" t="s">
        <v>946</v>
      </c>
      <c r="D468" t="s">
        <v>947</v>
      </c>
      <c r="E468" t="s">
        <v>19</v>
      </c>
      <c r="F468">
        <v>4</v>
      </c>
      <c r="G468">
        <v>9.6999999999999993</v>
      </c>
      <c r="H468">
        <v>38.799999999999997</v>
      </c>
    </row>
    <row r="469" spans="1:8" hidden="1" x14ac:dyDescent="0.3">
      <c r="A469" t="s">
        <v>15</v>
      </c>
      <c r="B469" t="s">
        <v>827</v>
      </c>
      <c r="C469" t="s">
        <v>948</v>
      </c>
      <c r="D469" t="s">
        <v>949</v>
      </c>
      <c r="E469" t="s">
        <v>19</v>
      </c>
      <c r="F469">
        <v>2</v>
      </c>
      <c r="G469">
        <v>35.215000000000003</v>
      </c>
      <c r="H469">
        <v>70.429540000000003</v>
      </c>
    </row>
    <row r="470" spans="1:8" hidden="1" x14ac:dyDescent="0.3">
      <c r="A470" t="s">
        <v>15</v>
      </c>
      <c r="B470" t="s">
        <v>827</v>
      </c>
      <c r="C470" t="s">
        <v>202</v>
      </c>
      <c r="D470" t="s">
        <v>203</v>
      </c>
      <c r="E470" t="s">
        <v>19</v>
      </c>
      <c r="F470">
        <v>2</v>
      </c>
      <c r="G470">
        <v>28.51</v>
      </c>
      <c r="H470">
        <v>57.019100000000002</v>
      </c>
    </row>
    <row r="471" spans="1:8" hidden="1" x14ac:dyDescent="0.3">
      <c r="A471" t="s">
        <v>15</v>
      </c>
      <c r="B471" t="s">
        <v>827</v>
      </c>
      <c r="C471" t="s">
        <v>950</v>
      </c>
      <c r="D471" t="s">
        <v>951</v>
      </c>
      <c r="E471" t="s">
        <v>19</v>
      </c>
      <c r="F471">
        <v>5</v>
      </c>
      <c r="G471">
        <v>1010.917</v>
      </c>
      <c r="H471">
        <v>5054.5864499999998</v>
      </c>
    </row>
    <row r="472" spans="1:8" hidden="1" x14ac:dyDescent="0.3">
      <c r="A472" t="s">
        <v>15</v>
      </c>
      <c r="B472" t="s">
        <v>827</v>
      </c>
      <c r="C472" t="s">
        <v>952</v>
      </c>
      <c r="D472" t="s">
        <v>953</v>
      </c>
      <c r="E472" t="s">
        <v>19</v>
      </c>
      <c r="F472">
        <v>4</v>
      </c>
      <c r="G472">
        <v>216.827</v>
      </c>
      <c r="H472">
        <v>867.30768999999998</v>
      </c>
    </row>
    <row r="473" spans="1:8" hidden="1" x14ac:dyDescent="0.3">
      <c r="A473" t="s">
        <v>15</v>
      </c>
      <c r="B473" t="s">
        <v>827</v>
      </c>
      <c r="C473" t="s">
        <v>954</v>
      </c>
      <c r="D473" t="s">
        <v>955</v>
      </c>
      <c r="E473" t="s">
        <v>19</v>
      </c>
      <c r="F473">
        <v>3</v>
      </c>
      <c r="G473">
        <v>53</v>
      </c>
      <c r="H473">
        <v>159</v>
      </c>
    </row>
    <row r="474" spans="1:8" hidden="1" x14ac:dyDescent="0.3">
      <c r="A474" t="s">
        <v>15</v>
      </c>
      <c r="B474" t="s">
        <v>827</v>
      </c>
      <c r="C474" t="s">
        <v>956</v>
      </c>
      <c r="D474" t="s">
        <v>957</v>
      </c>
      <c r="E474" t="s">
        <v>19</v>
      </c>
      <c r="F474">
        <v>1</v>
      </c>
      <c r="G474">
        <v>20899.125</v>
      </c>
      <c r="H474">
        <v>20899.124820000001</v>
      </c>
    </row>
    <row r="475" spans="1:8" hidden="1" x14ac:dyDescent="0.3">
      <c r="A475" t="s">
        <v>15</v>
      </c>
      <c r="B475" t="s">
        <v>827</v>
      </c>
      <c r="C475" t="s">
        <v>958</v>
      </c>
      <c r="D475" t="s">
        <v>959</v>
      </c>
      <c r="E475" t="s">
        <v>19</v>
      </c>
      <c r="F475">
        <v>2</v>
      </c>
      <c r="G475">
        <v>188.75</v>
      </c>
      <c r="H475">
        <v>377.5</v>
      </c>
    </row>
    <row r="476" spans="1:8" hidden="1" x14ac:dyDescent="0.3">
      <c r="A476" t="s">
        <v>15</v>
      </c>
      <c r="B476" t="s">
        <v>827</v>
      </c>
      <c r="C476" t="s">
        <v>960</v>
      </c>
      <c r="D476" t="s">
        <v>961</v>
      </c>
      <c r="E476" t="s">
        <v>293</v>
      </c>
      <c r="F476">
        <v>60</v>
      </c>
      <c r="G476">
        <v>116.697</v>
      </c>
      <c r="H476">
        <v>7001.8032000000003</v>
      </c>
    </row>
    <row r="477" spans="1:8" hidden="1" x14ac:dyDescent="0.3">
      <c r="A477" t="s">
        <v>15</v>
      </c>
      <c r="B477" t="s">
        <v>827</v>
      </c>
      <c r="C477" t="s">
        <v>962</v>
      </c>
      <c r="D477" t="s">
        <v>963</v>
      </c>
      <c r="E477" t="s">
        <v>293</v>
      </c>
      <c r="F477">
        <v>80</v>
      </c>
      <c r="G477">
        <v>175.827</v>
      </c>
      <c r="H477">
        <v>14066.172399999999</v>
      </c>
    </row>
    <row r="478" spans="1:8" hidden="1" x14ac:dyDescent="0.3">
      <c r="A478" t="s">
        <v>15</v>
      </c>
      <c r="B478" t="s">
        <v>827</v>
      </c>
      <c r="C478" t="s">
        <v>964</v>
      </c>
      <c r="D478" t="s">
        <v>965</v>
      </c>
      <c r="E478" t="s">
        <v>293</v>
      </c>
      <c r="F478">
        <v>60</v>
      </c>
      <c r="G478">
        <v>182.81100000000001</v>
      </c>
      <c r="H478">
        <v>10968.629650000001</v>
      </c>
    </row>
    <row r="479" spans="1:8" hidden="1" x14ac:dyDescent="0.3">
      <c r="A479" t="s">
        <v>15</v>
      </c>
      <c r="B479" t="s">
        <v>827</v>
      </c>
      <c r="C479" t="s">
        <v>966</v>
      </c>
      <c r="D479" t="s">
        <v>967</v>
      </c>
      <c r="E479" t="s">
        <v>293</v>
      </c>
      <c r="F479">
        <v>20</v>
      </c>
      <c r="G479">
        <v>327.09100000000001</v>
      </c>
      <c r="H479">
        <v>6541.8234000000002</v>
      </c>
    </row>
    <row r="480" spans="1:8" hidden="1" x14ac:dyDescent="0.3">
      <c r="A480" t="s">
        <v>15</v>
      </c>
      <c r="B480" t="s">
        <v>827</v>
      </c>
      <c r="C480" t="s">
        <v>968</v>
      </c>
      <c r="D480" t="s">
        <v>969</v>
      </c>
      <c r="E480" t="s">
        <v>19</v>
      </c>
      <c r="F480">
        <v>2</v>
      </c>
      <c r="G480">
        <v>1777.433</v>
      </c>
      <c r="H480">
        <v>3554.8656599999999</v>
      </c>
    </row>
    <row r="481" spans="1:8" hidden="1" x14ac:dyDescent="0.3">
      <c r="A481" t="s">
        <v>15</v>
      </c>
      <c r="B481" t="s">
        <v>827</v>
      </c>
      <c r="C481" t="s">
        <v>970</v>
      </c>
      <c r="D481" t="s">
        <v>971</v>
      </c>
      <c r="E481" t="s">
        <v>19</v>
      </c>
      <c r="F481">
        <v>27</v>
      </c>
      <c r="G481">
        <v>155.488</v>
      </c>
      <c r="H481">
        <v>4198.1679000000004</v>
      </c>
    </row>
    <row r="482" spans="1:8" hidden="1" x14ac:dyDescent="0.3">
      <c r="A482" t="s">
        <v>15</v>
      </c>
      <c r="B482" t="s">
        <v>827</v>
      </c>
      <c r="C482" t="s">
        <v>972</v>
      </c>
      <c r="D482" t="s">
        <v>973</v>
      </c>
      <c r="E482" t="s">
        <v>945</v>
      </c>
      <c r="F482">
        <v>1</v>
      </c>
      <c r="G482">
        <v>42128.192999999999</v>
      </c>
      <c r="H482">
        <v>42128.192519999997</v>
      </c>
    </row>
    <row r="483" spans="1:8" hidden="1" x14ac:dyDescent="0.3">
      <c r="A483" t="s">
        <v>15</v>
      </c>
      <c r="B483" t="s">
        <v>827</v>
      </c>
      <c r="C483" t="s">
        <v>974</v>
      </c>
      <c r="D483" t="s">
        <v>975</v>
      </c>
      <c r="E483" t="s">
        <v>233</v>
      </c>
      <c r="F483">
        <v>3</v>
      </c>
      <c r="G483">
        <v>75.042000000000002</v>
      </c>
      <c r="H483">
        <v>225.12685999999999</v>
      </c>
    </row>
    <row r="484" spans="1:8" hidden="1" x14ac:dyDescent="0.3">
      <c r="A484" t="s">
        <v>15</v>
      </c>
      <c r="B484" t="s">
        <v>827</v>
      </c>
      <c r="C484" t="s">
        <v>976</v>
      </c>
      <c r="D484" t="s">
        <v>977</v>
      </c>
      <c r="E484" t="s">
        <v>19</v>
      </c>
      <c r="F484">
        <v>7</v>
      </c>
      <c r="G484">
        <v>38</v>
      </c>
      <c r="H484">
        <v>266</v>
      </c>
    </row>
    <row r="485" spans="1:8" hidden="1" x14ac:dyDescent="0.3">
      <c r="A485" t="s">
        <v>15</v>
      </c>
      <c r="B485" t="s">
        <v>827</v>
      </c>
      <c r="C485" t="s">
        <v>978</v>
      </c>
      <c r="D485" t="s">
        <v>979</v>
      </c>
      <c r="E485" t="s">
        <v>233</v>
      </c>
      <c r="F485">
        <v>3</v>
      </c>
      <c r="G485">
        <v>95.54</v>
      </c>
      <c r="H485">
        <v>288.15168999999997</v>
      </c>
    </row>
    <row r="486" spans="1:8" hidden="1" x14ac:dyDescent="0.3">
      <c r="A486" t="s">
        <v>15</v>
      </c>
      <c r="B486" t="s">
        <v>827</v>
      </c>
      <c r="C486" t="s">
        <v>415</v>
      </c>
      <c r="D486" t="s">
        <v>416</v>
      </c>
      <c r="E486" t="s">
        <v>19</v>
      </c>
      <c r="F486">
        <v>24</v>
      </c>
      <c r="G486">
        <v>11.249750000000001</v>
      </c>
      <c r="H486">
        <v>269.91885000000002</v>
      </c>
    </row>
    <row r="487" spans="1:8" hidden="1" x14ac:dyDescent="0.3">
      <c r="A487" t="s">
        <v>15</v>
      </c>
      <c r="B487" t="s">
        <v>827</v>
      </c>
      <c r="C487" t="s">
        <v>980</v>
      </c>
      <c r="D487" t="s">
        <v>981</v>
      </c>
      <c r="E487" t="s">
        <v>19</v>
      </c>
      <c r="F487">
        <v>13</v>
      </c>
      <c r="G487">
        <v>73.512</v>
      </c>
      <c r="H487">
        <v>955.65508999999997</v>
      </c>
    </row>
    <row r="488" spans="1:8" hidden="1" x14ac:dyDescent="0.3">
      <c r="A488" t="s">
        <v>15</v>
      </c>
      <c r="B488" t="s">
        <v>827</v>
      </c>
      <c r="C488" t="s">
        <v>417</v>
      </c>
      <c r="D488" t="s">
        <v>418</v>
      </c>
      <c r="E488" t="s">
        <v>19</v>
      </c>
      <c r="F488">
        <v>4</v>
      </c>
      <c r="G488">
        <v>22.462</v>
      </c>
      <c r="H488">
        <v>89.84796</v>
      </c>
    </row>
    <row r="489" spans="1:8" hidden="1" x14ac:dyDescent="0.3">
      <c r="A489" t="s">
        <v>15</v>
      </c>
      <c r="B489" t="s">
        <v>827</v>
      </c>
      <c r="C489" t="s">
        <v>982</v>
      </c>
      <c r="D489" t="s">
        <v>983</v>
      </c>
      <c r="E489" t="s">
        <v>19</v>
      </c>
      <c r="F489">
        <v>2</v>
      </c>
      <c r="G489">
        <v>112.31</v>
      </c>
      <c r="H489">
        <v>224.61977999999999</v>
      </c>
    </row>
    <row r="490" spans="1:8" hidden="1" x14ac:dyDescent="0.3">
      <c r="A490" t="s">
        <v>15</v>
      </c>
      <c r="B490" t="s">
        <v>827</v>
      </c>
      <c r="C490" t="s">
        <v>219</v>
      </c>
      <c r="D490" t="s">
        <v>220</v>
      </c>
      <c r="E490" t="s">
        <v>19</v>
      </c>
      <c r="F490">
        <v>11</v>
      </c>
      <c r="G490">
        <v>30</v>
      </c>
      <c r="H490">
        <v>330</v>
      </c>
    </row>
    <row r="491" spans="1:8" hidden="1" x14ac:dyDescent="0.3">
      <c r="A491" t="s">
        <v>15</v>
      </c>
      <c r="B491" t="s">
        <v>827</v>
      </c>
      <c r="C491" t="s">
        <v>984</v>
      </c>
      <c r="D491" t="s">
        <v>985</v>
      </c>
      <c r="E491" t="s">
        <v>19</v>
      </c>
      <c r="F491">
        <v>2</v>
      </c>
      <c r="G491">
        <v>70.923000000000002</v>
      </c>
      <c r="H491">
        <v>141.84530000000001</v>
      </c>
    </row>
    <row r="492" spans="1:8" hidden="1" x14ac:dyDescent="0.3">
      <c r="A492" t="s">
        <v>15</v>
      </c>
      <c r="B492" t="s">
        <v>827</v>
      </c>
      <c r="C492" t="s">
        <v>231</v>
      </c>
      <c r="D492" t="s">
        <v>232</v>
      </c>
      <c r="E492" t="s">
        <v>233</v>
      </c>
      <c r="F492">
        <v>1</v>
      </c>
      <c r="G492">
        <v>215</v>
      </c>
      <c r="H492">
        <v>211.99825000000001</v>
      </c>
    </row>
    <row r="493" spans="1:8" hidden="1" x14ac:dyDescent="0.3">
      <c r="A493" t="s">
        <v>15</v>
      </c>
      <c r="B493" t="s">
        <v>827</v>
      </c>
      <c r="C493" t="s">
        <v>986</v>
      </c>
      <c r="D493" t="s">
        <v>987</v>
      </c>
      <c r="E493" t="s">
        <v>19</v>
      </c>
      <c r="F493">
        <v>1</v>
      </c>
      <c r="G493">
        <v>57.34</v>
      </c>
      <c r="H493">
        <v>57.34</v>
      </c>
    </row>
    <row r="494" spans="1:8" hidden="1" x14ac:dyDescent="0.3">
      <c r="A494" t="s">
        <v>15</v>
      </c>
      <c r="B494" t="s">
        <v>827</v>
      </c>
      <c r="C494" t="s">
        <v>988</v>
      </c>
      <c r="D494" t="s">
        <v>989</v>
      </c>
      <c r="E494" t="s">
        <v>19</v>
      </c>
      <c r="F494">
        <v>1</v>
      </c>
      <c r="G494">
        <v>382.15300000000002</v>
      </c>
      <c r="H494">
        <v>382.15316999999999</v>
      </c>
    </row>
    <row r="495" spans="1:8" hidden="1" x14ac:dyDescent="0.3">
      <c r="A495" t="s">
        <v>15</v>
      </c>
      <c r="B495" t="s">
        <v>827</v>
      </c>
      <c r="C495" t="s">
        <v>990</v>
      </c>
      <c r="D495" t="s">
        <v>991</v>
      </c>
      <c r="E495" t="s">
        <v>19</v>
      </c>
      <c r="F495">
        <v>1</v>
      </c>
      <c r="G495">
        <v>744.5</v>
      </c>
      <c r="H495">
        <v>744.5</v>
      </c>
    </row>
    <row r="496" spans="1:8" hidden="1" x14ac:dyDescent="0.3">
      <c r="A496" t="s">
        <v>15</v>
      </c>
      <c r="B496" t="s">
        <v>827</v>
      </c>
      <c r="C496" t="s">
        <v>992</v>
      </c>
      <c r="D496" t="s">
        <v>993</v>
      </c>
      <c r="E496" t="s">
        <v>19</v>
      </c>
      <c r="F496">
        <v>1</v>
      </c>
      <c r="G496">
        <v>286.13600000000002</v>
      </c>
      <c r="H496">
        <v>286.13628</v>
      </c>
    </row>
    <row r="497" spans="1:8" hidden="1" x14ac:dyDescent="0.3">
      <c r="A497" t="s">
        <v>15</v>
      </c>
      <c r="B497" t="s">
        <v>827</v>
      </c>
      <c r="C497" t="s">
        <v>994</v>
      </c>
      <c r="D497" t="s">
        <v>995</v>
      </c>
      <c r="E497" t="s">
        <v>19</v>
      </c>
      <c r="F497">
        <v>1</v>
      </c>
      <c r="G497">
        <v>523.4</v>
      </c>
      <c r="H497">
        <v>523.40025000000003</v>
      </c>
    </row>
    <row r="498" spans="1:8" hidden="1" x14ac:dyDescent="0.3">
      <c r="A498" t="s">
        <v>15</v>
      </c>
      <c r="B498" t="s">
        <v>827</v>
      </c>
      <c r="C498" t="s">
        <v>761</v>
      </c>
      <c r="D498" t="s">
        <v>762</v>
      </c>
      <c r="E498" t="s">
        <v>19</v>
      </c>
      <c r="F498">
        <v>4</v>
      </c>
      <c r="G498">
        <v>24.567</v>
      </c>
      <c r="H498">
        <v>98.266679999999994</v>
      </c>
    </row>
    <row r="499" spans="1:8" hidden="1" x14ac:dyDescent="0.3">
      <c r="A499" t="s">
        <v>15</v>
      </c>
      <c r="B499" t="s">
        <v>827</v>
      </c>
      <c r="C499" t="s">
        <v>996</v>
      </c>
      <c r="D499" t="s">
        <v>997</v>
      </c>
      <c r="E499" t="s">
        <v>19</v>
      </c>
      <c r="F499">
        <v>2</v>
      </c>
      <c r="G499">
        <v>619.31799999999998</v>
      </c>
      <c r="H499">
        <v>1238.6361199999999</v>
      </c>
    </row>
    <row r="500" spans="1:8" hidden="1" x14ac:dyDescent="0.3">
      <c r="A500" t="s">
        <v>15</v>
      </c>
      <c r="B500" t="s">
        <v>827</v>
      </c>
      <c r="C500" t="s">
        <v>998</v>
      </c>
      <c r="D500" t="s">
        <v>999</v>
      </c>
      <c r="E500" t="s">
        <v>19</v>
      </c>
      <c r="F500">
        <v>1</v>
      </c>
      <c r="G500">
        <v>15262.647999999999</v>
      </c>
      <c r="H500">
        <v>15262.64755</v>
      </c>
    </row>
    <row r="501" spans="1:8" hidden="1" x14ac:dyDescent="0.3">
      <c r="A501" t="s">
        <v>15</v>
      </c>
      <c r="B501" t="s">
        <v>827</v>
      </c>
      <c r="C501" t="s">
        <v>1000</v>
      </c>
      <c r="D501" t="s">
        <v>1001</v>
      </c>
      <c r="E501" t="s">
        <v>19</v>
      </c>
      <c r="F501">
        <v>1</v>
      </c>
      <c r="G501">
        <v>15354.683000000001</v>
      </c>
      <c r="H501">
        <v>15354.68262</v>
      </c>
    </row>
    <row r="502" spans="1:8" hidden="1" x14ac:dyDescent="0.3">
      <c r="A502" t="s">
        <v>15</v>
      </c>
      <c r="B502" t="s">
        <v>827</v>
      </c>
      <c r="C502" t="s">
        <v>1002</v>
      </c>
      <c r="D502" t="s">
        <v>1003</v>
      </c>
      <c r="E502" t="s">
        <v>19</v>
      </c>
      <c r="F502">
        <v>1</v>
      </c>
      <c r="G502">
        <v>15150</v>
      </c>
      <c r="H502">
        <v>15150</v>
      </c>
    </row>
    <row r="503" spans="1:8" hidden="1" x14ac:dyDescent="0.3">
      <c r="A503" t="s">
        <v>15</v>
      </c>
      <c r="B503" t="s">
        <v>827</v>
      </c>
      <c r="C503" t="s">
        <v>1004</v>
      </c>
      <c r="D503" t="s">
        <v>1005</v>
      </c>
      <c r="E503" t="s">
        <v>19</v>
      </c>
      <c r="F503">
        <v>3</v>
      </c>
      <c r="G503">
        <v>45</v>
      </c>
      <c r="H503">
        <v>135</v>
      </c>
    </row>
    <row r="504" spans="1:8" hidden="1" x14ac:dyDescent="0.3">
      <c r="A504" t="s">
        <v>15</v>
      </c>
      <c r="B504" t="s">
        <v>827</v>
      </c>
      <c r="C504" t="s">
        <v>1006</v>
      </c>
      <c r="D504" t="s">
        <v>1007</v>
      </c>
      <c r="E504" t="s">
        <v>19</v>
      </c>
      <c r="F504">
        <v>1</v>
      </c>
      <c r="G504">
        <v>10087.646000000001</v>
      </c>
      <c r="H504">
        <v>10087.645860000001</v>
      </c>
    </row>
    <row r="505" spans="1:8" hidden="1" x14ac:dyDescent="0.3">
      <c r="A505" t="s">
        <v>15</v>
      </c>
      <c r="B505" t="s">
        <v>827</v>
      </c>
      <c r="C505" t="s">
        <v>1008</v>
      </c>
      <c r="D505" t="s">
        <v>1009</v>
      </c>
      <c r="E505" t="s">
        <v>19</v>
      </c>
      <c r="F505">
        <v>10</v>
      </c>
      <c r="G505">
        <v>7.25</v>
      </c>
      <c r="H505">
        <v>72.5</v>
      </c>
    </row>
    <row r="506" spans="1:8" hidden="1" x14ac:dyDescent="0.3">
      <c r="A506" t="s">
        <v>15</v>
      </c>
      <c r="B506" t="s">
        <v>827</v>
      </c>
      <c r="C506" t="s">
        <v>1010</v>
      </c>
      <c r="D506" t="s">
        <v>1011</v>
      </c>
      <c r="E506" t="s">
        <v>193</v>
      </c>
      <c r="F506">
        <v>50</v>
      </c>
      <c r="G506">
        <v>88.748000000000005</v>
      </c>
      <c r="H506">
        <v>4437.3789999999999</v>
      </c>
    </row>
    <row r="507" spans="1:8" hidden="1" x14ac:dyDescent="0.3">
      <c r="A507" t="s">
        <v>15</v>
      </c>
      <c r="B507" t="s">
        <v>827</v>
      </c>
      <c r="C507" t="s">
        <v>261</v>
      </c>
      <c r="D507" t="s">
        <v>262</v>
      </c>
      <c r="E507" t="s">
        <v>19</v>
      </c>
      <c r="F507">
        <v>85</v>
      </c>
      <c r="G507">
        <v>7.2791428571428503</v>
      </c>
      <c r="H507">
        <v>620.29787999999996</v>
      </c>
    </row>
    <row r="508" spans="1:8" hidden="1" x14ac:dyDescent="0.3">
      <c r="A508" t="s">
        <v>15</v>
      </c>
      <c r="B508" t="s">
        <v>827</v>
      </c>
      <c r="C508" t="s">
        <v>1012</v>
      </c>
      <c r="D508" t="s">
        <v>1013</v>
      </c>
      <c r="E508" t="s">
        <v>19</v>
      </c>
      <c r="F508">
        <v>3</v>
      </c>
      <c r="G508">
        <v>30.562999999999999</v>
      </c>
      <c r="H508">
        <v>91.6875</v>
      </c>
    </row>
    <row r="509" spans="1:8" hidden="1" x14ac:dyDescent="0.3">
      <c r="A509" t="s">
        <v>15</v>
      </c>
      <c r="B509" t="s">
        <v>827</v>
      </c>
      <c r="C509" t="s">
        <v>763</v>
      </c>
      <c r="D509" t="s">
        <v>764</v>
      </c>
      <c r="E509" t="s">
        <v>233</v>
      </c>
      <c r="F509">
        <v>6</v>
      </c>
      <c r="G509">
        <v>200</v>
      </c>
      <c r="H509">
        <v>1200</v>
      </c>
    </row>
    <row r="510" spans="1:8" hidden="1" x14ac:dyDescent="0.3">
      <c r="A510" t="s">
        <v>15</v>
      </c>
      <c r="B510" t="s">
        <v>827</v>
      </c>
      <c r="C510" t="s">
        <v>1014</v>
      </c>
      <c r="D510" t="s">
        <v>1015</v>
      </c>
      <c r="E510" t="s">
        <v>233</v>
      </c>
      <c r="F510">
        <v>44</v>
      </c>
      <c r="G510">
        <v>137.203</v>
      </c>
      <c r="H510">
        <v>6036.91572</v>
      </c>
    </row>
    <row r="511" spans="1:8" hidden="1" x14ac:dyDescent="0.3">
      <c r="A511" t="s">
        <v>15</v>
      </c>
      <c r="B511" t="s">
        <v>827</v>
      </c>
      <c r="C511" t="s">
        <v>1016</v>
      </c>
      <c r="D511" t="s">
        <v>1017</v>
      </c>
      <c r="E511" t="s">
        <v>233</v>
      </c>
      <c r="F511">
        <v>3</v>
      </c>
      <c r="G511">
        <v>166.03800000000001</v>
      </c>
      <c r="H511">
        <v>498.11399999999998</v>
      </c>
    </row>
    <row r="512" spans="1:8" hidden="1" x14ac:dyDescent="0.3">
      <c r="A512" t="s">
        <v>15</v>
      </c>
      <c r="B512" t="s">
        <v>827</v>
      </c>
      <c r="C512" t="s">
        <v>1018</v>
      </c>
      <c r="D512" t="s">
        <v>1019</v>
      </c>
      <c r="E512" t="s">
        <v>19</v>
      </c>
      <c r="F512">
        <v>2</v>
      </c>
      <c r="G512">
        <v>1314</v>
      </c>
      <c r="H512">
        <v>2628</v>
      </c>
    </row>
    <row r="513" spans="1:8" hidden="1" x14ac:dyDescent="0.3">
      <c r="A513" t="s">
        <v>15</v>
      </c>
      <c r="B513" t="s">
        <v>827</v>
      </c>
      <c r="C513" t="s">
        <v>1020</v>
      </c>
      <c r="D513" t="s">
        <v>1021</v>
      </c>
      <c r="E513" t="s">
        <v>19</v>
      </c>
      <c r="F513">
        <v>3</v>
      </c>
      <c r="G513">
        <v>980.54</v>
      </c>
      <c r="H513">
        <v>2941.6212</v>
      </c>
    </row>
    <row r="514" spans="1:8" hidden="1" x14ac:dyDescent="0.3">
      <c r="A514" t="s">
        <v>15</v>
      </c>
      <c r="B514" t="s">
        <v>827</v>
      </c>
      <c r="C514" t="s">
        <v>1022</v>
      </c>
      <c r="D514" t="s">
        <v>1023</v>
      </c>
      <c r="E514" t="s">
        <v>19</v>
      </c>
      <c r="F514">
        <v>3</v>
      </c>
      <c r="G514">
        <v>1215.1569999999999</v>
      </c>
      <c r="H514">
        <v>3645.4705199999999</v>
      </c>
    </row>
    <row r="515" spans="1:8" hidden="1" x14ac:dyDescent="0.3">
      <c r="A515" t="s">
        <v>15</v>
      </c>
      <c r="B515" t="s">
        <v>827</v>
      </c>
      <c r="C515" t="s">
        <v>1024</v>
      </c>
      <c r="D515" t="s">
        <v>1025</v>
      </c>
      <c r="E515" t="s">
        <v>19</v>
      </c>
      <c r="F515">
        <v>3</v>
      </c>
      <c r="G515">
        <v>1524.14</v>
      </c>
      <c r="H515">
        <v>4572.4195200000004</v>
      </c>
    </row>
    <row r="516" spans="1:8" hidden="1" x14ac:dyDescent="0.3">
      <c r="A516" t="s">
        <v>15</v>
      </c>
      <c r="B516" t="s">
        <v>827</v>
      </c>
      <c r="C516" t="s">
        <v>1026</v>
      </c>
      <c r="D516" t="s">
        <v>1027</v>
      </c>
      <c r="E516" t="s">
        <v>19</v>
      </c>
      <c r="F516">
        <v>7</v>
      </c>
      <c r="G516">
        <v>339.32499999999999</v>
      </c>
      <c r="H516">
        <v>2378.14048</v>
      </c>
    </row>
    <row r="517" spans="1:8" hidden="1" x14ac:dyDescent="0.3">
      <c r="A517" t="s">
        <v>15</v>
      </c>
      <c r="B517" t="s">
        <v>827</v>
      </c>
      <c r="C517" t="s">
        <v>1028</v>
      </c>
      <c r="D517" t="s">
        <v>1029</v>
      </c>
      <c r="E517" t="s">
        <v>19</v>
      </c>
      <c r="F517">
        <v>1</v>
      </c>
      <c r="G517">
        <v>3129.625</v>
      </c>
      <c r="H517">
        <v>3129.625</v>
      </c>
    </row>
    <row r="518" spans="1:8" hidden="1" x14ac:dyDescent="0.3">
      <c r="A518" t="s">
        <v>15</v>
      </c>
      <c r="B518" t="s">
        <v>827</v>
      </c>
      <c r="C518" t="s">
        <v>1030</v>
      </c>
      <c r="D518" t="s">
        <v>1031</v>
      </c>
      <c r="E518" t="s">
        <v>19</v>
      </c>
      <c r="F518">
        <v>1</v>
      </c>
      <c r="G518">
        <v>6392.857</v>
      </c>
      <c r="H518">
        <v>6392.8571499999998</v>
      </c>
    </row>
    <row r="519" spans="1:8" hidden="1" x14ac:dyDescent="0.3">
      <c r="A519" t="s">
        <v>15</v>
      </c>
      <c r="B519" t="s">
        <v>827</v>
      </c>
      <c r="C519" t="s">
        <v>1032</v>
      </c>
      <c r="D519" t="s">
        <v>1033</v>
      </c>
      <c r="E519" t="s">
        <v>210</v>
      </c>
      <c r="F519">
        <v>2</v>
      </c>
      <c r="G519">
        <v>5762.8270000000002</v>
      </c>
      <c r="H519">
        <v>11525.654560000001</v>
      </c>
    </row>
    <row r="520" spans="1:8" hidden="1" x14ac:dyDescent="0.3">
      <c r="A520" t="s">
        <v>15</v>
      </c>
      <c r="B520" t="s">
        <v>827</v>
      </c>
      <c r="C520" t="s">
        <v>1034</v>
      </c>
      <c r="D520" t="s">
        <v>1035</v>
      </c>
      <c r="E520" t="s">
        <v>210</v>
      </c>
      <c r="F520">
        <v>3</v>
      </c>
      <c r="G520">
        <v>6157.5919999999996</v>
      </c>
      <c r="H520">
        <v>18472.774979999998</v>
      </c>
    </row>
    <row r="521" spans="1:8" hidden="1" x14ac:dyDescent="0.3">
      <c r="A521" t="s">
        <v>15</v>
      </c>
      <c r="B521" t="s">
        <v>827</v>
      </c>
      <c r="C521" t="s">
        <v>1036</v>
      </c>
      <c r="D521" t="s">
        <v>1037</v>
      </c>
      <c r="E521" t="s">
        <v>19</v>
      </c>
      <c r="F521">
        <v>1</v>
      </c>
      <c r="G521">
        <v>50.976999999999997</v>
      </c>
      <c r="H521">
        <v>50.977200000000003</v>
      </c>
    </row>
    <row r="522" spans="1:8" hidden="1" x14ac:dyDescent="0.3">
      <c r="A522" t="s">
        <v>15</v>
      </c>
      <c r="B522" t="s">
        <v>827</v>
      </c>
      <c r="C522" t="s">
        <v>1038</v>
      </c>
      <c r="D522" t="s">
        <v>1039</v>
      </c>
      <c r="E522" t="s">
        <v>19</v>
      </c>
      <c r="F522">
        <v>1</v>
      </c>
      <c r="G522">
        <v>54.293999999999997</v>
      </c>
      <c r="H522">
        <v>54.293930000000003</v>
      </c>
    </row>
    <row r="523" spans="1:8" hidden="1" x14ac:dyDescent="0.3">
      <c r="A523" t="s">
        <v>15</v>
      </c>
      <c r="B523" t="s">
        <v>827</v>
      </c>
      <c r="C523" t="s">
        <v>1040</v>
      </c>
      <c r="D523" t="s">
        <v>1041</v>
      </c>
      <c r="E523" t="s">
        <v>19</v>
      </c>
      <c r="F523">
        <v>10</v>
      </c>
      <c r="G523">
        <v>87.382000000000005</v>
      </c>
      <c r="H523">
        <v>873.81724999999994</v>
      </c>
    </row>
    <row r="524" spans="1:8" hidden="1" x14ac:dyDescent="0.3">
      <c r="A524" t="s">
        <v>15</v>
      </c>
      <c r="B524" t="s">
        <v>827</v>
      </c>
      <c r="C524" t="s">
        <v>1042</v>
      </c>
      <c r="D524" t="s">
        <v>1043</v>
      </c>
      <c r="E524" t="s">
        <v>19</v>
      </c>
      <c r="F524">
        <v>10</v>
      </c>
      <c r="G524">
        <v>172.5635</v>
      </c>
      <c r="H524">
        <v>1725.6341500000001</v>
      </c>
    </row>
    <row r="525" spans="1:8" hidden="1" x14ac:dyDescent="0.3">
      <c r="A525" t="s">
        <v>15</v>
      </c>
      <c r="B525" t="s">
        <v>827</v>
      </c>
      <c r="C525" t="s">
        <v>1044</v>
      </c>
      <c r="D525" t="s">
        <v>1045</v>
      </c>
      <c r="E525" t="s">
        <v>19</v>
      </c>
      <c r="F525">
        <v>1</v>
      </c>
      <c r="G525">
        <v>436.5</v>
      </c>
      <c r="H525">
        <v>436.5</v>
      </c>
    </row>
    <row r="526" spans="1:8" hidden="1" x14ac:dyDescent="0.3">
      <c r="A526" t="s">
        <v>15</v>
      </c>
      <c r="B526" t="s">
        <v>827</v>
      </c>
      <c r="C526" t="s">
        <v>1046</v>
      </c>
      <c r="D526" t="s">
        <v>1047</v>
      </c>
      <c r="E526" t="s">
        <v>19</v>
      </c>
      <c r="F526">
        <v>10</v>
      </c>
      <c r="G526">
        <v>140</v>
      </c>
      <c r="H526">
        <v>1400</v>
      </c>
    </row>
    <row r="527" spans="1:8" hidden="1" x14ac:dyDescent="0.3">
      <c r="A527" t="s">
        <v>15</v>
      </c>
      <c r="B527" t="s">
        <v>827</v>
      </c>
      <c r="C527" t="s">
        <v>1048</v>
      </c>
      <c r="D527" t="s">
        <v>1049</v>
      </c>
      <c r="E527" t="s">
        <v>233</v>
      </c>
      <c r="F527">
        <v>5</v>
      </c>
      <c r="G527">
        <v>173.38300000000001</v>
      </c>
      <c r="H527">
        <v>866.91729999999995</v>
      </c>
    </row>
    <row r="528" spans="1:8" hidden="1" x14ac:dyDescent="0.3">
      <c r="A528" t="s">
        <v>15</v>
      </c>
      <c r="B528" t="s">
        <v>827</v>
      </c>
      <c r="C528" t="s">
        <v>1050</v>
      </c>
      <c r="D528" t="s">
        <v>1051</v>
      </c>
      <c r="E528" t="s">
        <v>19</v>
      </c>
      <c r="F528">
        <v>2</v>
      </c>
      <c r="G528">
        <v>651.84299999999996</v>
      </c>
      <c r="H528">
        <v>1303.6866600000001</v>
      </c>
    </row>
    <row r="529" spans="1:8" hidden="1" x14ac:dyDescent="0.3">
      <c r="A529" t="s">
        <v>15</v>
      </c>
      <c r="B529" t="s">
        <v>827</v>
      </c>
      <c r="C529" t="s">
        <v>1052</v>
      </c>
      <c r="D529" t="s">
        <v>1053</v>
      </c>
      <c r="E529" t="s">
        <v>19</v>
      </c>
      <c r="F529">
        <v>2</v>
      </c>
      <c r="G529">
        <v>1184.5129999999999</v>
      </c>
      <c r="H529">
        <v>2369.0267600000002</v>
      </c>
    </row>
    <row r="530" spans="1:8" hidden="1" x14ac:dyDescent="0.3">
      <c r="A530" t="s">
        <v>15</v>
      </c>
      <c r="B530" t="s">
        <v>827</v>
      </c>
      <c r="C530" t="s">
        <v>1054</v>
      </c>
      <c r="D530" t="s">
        <v>1055</v>
      </c>
      <c r="E530" t="s">
        <v>19</v>
      </c>
      <c r="F530">
        <v>20</v>
      </c>
      <c r="G530">
        <v>56.5</v>
      </c>
      <c r="H530">
        <v>1130</v>
      </c>
    </row>
    <row r="531" spans="1:8" hidden="1" x14ac:dyDescent="0.3">
      <c r="A531" t="s">
        <v>15</v>
      </c>
      <c r="B531" t="s">
        <v>827</v>
      </c>
      <c r="C531" t="s">
        <v>1056</v>
      </c>
      <c r="D531" t="s">
        <v>1057</v>
      </c>
      <c r="E531" t="s">
        <v>19</v>
      </c>
      <c r="F531">
        <v>1</v>
      </c>
      <c r="G531">
        <v>1809.172</v>
      </c>
      <c r="H531">
        <v>1809.1720499999999</v>
      </c>
    </row>
    <row r="532" spans="1:8" hidden="1" x14ac:dyDescent="0.3">
      <c r="A532" t="s">
        <v>15</v>
      </c>
      <c r="B532" t="s">
        <v>827</v>
      </c>
      <c r="C532" t="s">
        <v>263</v>
      </c>
      <c r="D532" t="s">
        <v>264</v>
      </c>
      <c r="E532" t="s">
        <v>233</v>
      </c>
      <c r="F532">
        <v>54</v>
      </c>
      <c r="G532">
        <v>24.158874999999998</v>
      </c>
      <c r="H532">
        <v>1291.63626</v>
      </c>
    </row>
    <row r="533" spans="1:8" hidden="1" x14ac:dyDescent="0.3">
      <c r="A533" t="s">
        <v>15</v>
      </c>
      <c r="B533" t="s">
        <v>827</v>
      </c>
      <c r="C533" t="s">
        <v>1058</v>
      </c>
      <c r="D533" t="s">
        <v>1059</v>
      </c>
      <c r="E533" t="s">
        <v>19</v>
      </c>
      <c r="F533">
        <v>12</v>
      </c>
      <c r="G533">
        <v>52</v>
      </c>
      <c r="H533">
        <v>624</v>
      </c>
    </row>
    <row r="534" spans="1:8" hidden="1" x14ac:dyDescent="0.3">
      <c r="A534" t="s">
        <v>15</v>
      </c>
      <c r="B534" t="s">
        <v>827</v>
      </c>
      <c r="C534" t="s">
        <v>1060</v>
      </c>
      <c r="D534" t="s">
        <v>1061</v>
      </c>
      <c r="E534" t="s">
        <v>19</v>
      </c>
      <c r="F534">
        <v>2</v>
      </c>
      <c r="G534">
        <v>855</v>
      </c>
      <c r="H534">
        <v>1710</v>
      </c>
    </row>
    <row r="535" spans="1:8" hidden="1" x14ac:dyDescent="0.3">
      <c r="A535" t="s">
        <v>15</v>
      </c>
      <c r="B535" t="s">
        <v>827</v>
      </c>
      <c r="C535" t="s">
        <v>1062</v>
      </c>
      <c r="D535" t="s">
        <v>1063</v>
      </c>
      <c r="E535" t="s">
        <v>19</v>
      </c>
      <c r="F535">
        <v>2</v>
      </c>
      <c r="G535">
        <v>97.709000000000003</v>
      </c>
      <c r="H535">
        <v>195.41824</v>
      </c>
    </row>
    <row r="536" spans="1:8" hidden="1" x14ac:dyDescent="0.3">
      <c r="A536" t="s">
        <v>15</v>
      </c>
      <c r="B536" t="s">
        <v>827</v>
      </c>
      <c r="C536" t="s">
        <v>1064</v>
      </c>
      <c r="D536" t="s">
        <v>1065</v>
      </c>
      <c r="E536" t="s">
        <v>19</v>
      </c>
      <c r="F536">
        <v>1</v>
      </c>
      <c r="G536">
        <v>115</v>
      </c>
      <c r="H536">
        <v>115</v>
      </c>
    </row>
    <row r="537" spans="1:8" hidden="1" x14ac:dyDescent="0.3">
      <c r="A537" t="s">
        <v>15</v>
      </c>
      <c r="B537" t="s">
        <v>827</v>
      </c>
      <c r="C537" t="s">
        <v>1066</v>
      </c>
      <c r="D537" t="s">
        <v>1067</v>
      </c>
      <c r="E537" t="s">
        <v>233</v>
      </c>
      <c r="F537">
        <v>725</v>
      </c>
      <c r="G537">
        <v>60.67</v>
      </c>
      <c r="H537">
        <v>43985.735500000003</v>
      </c>
    </row>
    <row r="538" spans="1:8" hidden="1" x14ac:dyDescent="0.3">
      <c r="A538" t="s">
        <v>15</v>
      </c>
      <c r="B538" t="s">
        <v>827</v>
      </c>
      <c r="C538" t="s">
        <v>269</v>
      </c>
      <c r="D538" t="s">
        <v>270</v>
      </c>
      <c r="E538" t="s">
        <v>244</v>
      </c>
      <c r="F538">
        <v>12</v>
      </c>
      <c r="G538">
        <v>282.53625</v>
      </c>
      <c r="H538">
        <v>3381.1056800000001</v>
      </c>
    </row>
    <row r="539" spans="1:8" hidden="1" x14ac:dyDescent="0.3">
      <c r="A539" t="s">
        <v>15</v>
      </c>
      <c r="B539" t="s">
        <v>827</v>
      </c>
      <c r="C539" t="s">
        <v>271</v>
      </c>
      <c r="D539" t="s">
        <v>272</v>
      </c>
      <c r="E539" t="s">
        <v>244</v>
      </c>
      <c r="F539">
        <v>91</v>
      </c>
      <c r="G539">
        <v>348.213608695652</v>
      </c>
      <c r="H539">
        <v>31682.83512</v>
      </c>
    </row>
    <row r="540" spans="1:8" hidden="1" x14ac:dyDescent="0.3">
      <c r="A540" t="s">
        <v>15</v>
      </c>
      <c r="B540" t="s">
        <v>827</v>
      </c>
      <c r="C540" t="s">
        <v>1068</v>
      </c>
      <c r="D540" t="s">
        <v>1069</v>
      </c>
      <c r="E540" t="s">
        <v>244</v>
      </c>
      <c r="F540">
        <v>33</v>
      </c>
      <c r="G540">
        <v>582.10737500000005</v>
      </c>
      <c r="H540">
        <v>19202.421249999999</v>
      </c>
    </row>
    <row r="541" spans="1:8" hidden="1" x14ac:dyDescent="0.3">
      <c r="A541" t="s">
        <v>15</v>
      </c>
      <c r="B541" t="s">
        <v>827</v>
      </c>
      <c r="C541" t="s">
        <v>1070</v>
      </c>
      <c r="D541" t="s">
        <v>1071</v>
      </c>
      <c r="E541" t="s">
        <v>244</v>
      </c>
      <c r="F541">
        <v>7</v>
      </c>
      <c r="G541">
        <v>1477.5340000000001</v>
      </c>
      <c r="H541">
        <v>10322.67288</v>
      </c>
    </row>
    <row r="542" spans="1:8" hidden="1" x14ac:dyDescent="0.3">
      <c r="A542" t="s">
        <v>15</v>
      </c>
      <c r="B542" t="s">
        <v>827</v>
      </c>
      <c r="C542" t="s">
        <v>273</v>
      </c>
      <c r="D542" t="s">
        <v>274</v>
      </c>
      <c r="E542" t="s">
        <v>19</v>
      </c>
      <c r="F542">
        <v>10</v>
      </c>
      <c r="G542">
        <v>12.479333333333299</v>
      </c>
      <c r="H542">
        <v>124.44978</v>
      </c>
    </row>
    <row r="543" spans="1:8" hidden="1" x14ac:dyDescent="0.3">
      <c r="A543" t="s">
        <v>15</v>
      </c>
      <c r="B543" t="s">
        <v>827</v>
      </c>
      <c r="C543" t="s">
        <v>1072</v>
      </c>
      <c r="D543" t="s">
        <v>1073</v>
      </c>
      <c r="E543" t="s">
        <v>19</v>
      </c>
      <c r="F543">
        <v>22</v>
      </c>
      <c r="G543">
        <v>2.6429999999999998</v>
      </c>
      <c r="H543">
        <v>58.136319999999998</v>
      </c>
    </row>
    <row r="544" spans="1:8" hidden="1" x14ac:dyDescent="0.3">
      <c r="A544" t="s">
        <v>15</v>
      </c>
      <c r="B544" t="s">
        <v>827</v>
      </c>
      <c r="C544" t="s">
        <v>1074</v>
      </c>
      <c r="D544" t="s">
        <v>1075</v>
      </c>
      <c r="E544" t="s">
        <v>19</v>
      </c>
      <c r="F544">
        <v>2</v>
      </c>
      <c r="G544">
        <v>410.4</v>
      </c>
      <c r="H544">
        <v>820.8</v>
      </c>
    </row>
    <row r="545" spans="1:8" hidden="1" x14ac:dyDescent="0.3">
      <c r="A545" t="s">
        <v>15</v>
      </c>
      <c r="B545" t="s">
        <v>827</v>
      </c>
      <c r="C545" t="s">
        <v>1076</v>
      </c>
      <c r="D545" t="s">
        <v>1077</v>
      </c>
      <c r="E545" t="s">
        <v>19</v>
      </c>
      <c r="F545">
        <v>1</v>
      </c>
      <c r="G545">
        <v>5815.2939999999999</v>
      </c>
      <c r="H545">
        <v>5815.2938599999998</v>
      </c>
    </row>
    <row r="546" spans="1:8" hidden="1" x14ac:dyDescent="0.3">
      <c r="A546" t="s">
        <v>15</v>
      </c>
      <c r="B546" t="s">
        <v>827</v>
      </c>
      <c r="C546" t="s">
        <v>1078</v>
      </c>
      <c r="D546" t="s">
        <v>1079</v>
      </c>
      <c r="E546" t="s">
        <v>19</v>
      </c>
      <c r="F546">
        <v>4</v>
      </c>
      <c r="G546">
        <v>222.71600000000001</v>
      </c>
      <c r="H546">
        <v>890.86419000000001</v>
      </c>
    </row>
    <row r="547" spans="1:8" hidden="1" x14ac:dyDescent="0.3">
      <c r="A547" t="s">
        <v>15</v>
      </c>
      <c r="B547" t="s">
        <v>827</v>
      </c>
      <c r="C547" t="s">
        <v>1080</v>
      </c>
      <c r="D547" t="s">
        <v>1081</v>
      </c>
      <c r="E547" t="s">
        <v>19</v>
      </c>
      <c r="F547">
        <v>2</v>
      </c>
      <c r="G547">
        <v>650</v>
      </c>
      <c r="H547">
        <v>1300</v>
      </c>
    </row>
    <row r="548" spans="1:8" hidden="1" x14ac:dyDescent="0.3">
      <c r="A548" t="s">
        <v>15</v>
      </c>
      <c r="B548" t="s">
        <v>827</v>
      </c>
      <c r="C548" t="s">
        <v>1082</v>
      </c>
      <c r="D548" t="s">
        <v>1083</v>
      </c>
      <c r="E548" t="s">
        <v>244</v>
      </c>
      <c r="F548">
        <v>28</v>
      </c>
      <c r="G548">
        <v>3600</v>
      </c>
      <c r="H548">
        <v>100800</v>
      </c>
    </row>
    <row r="549" spans="1:8" hidden="1" x14ac:dyDescent="0.3">
      <c r="A549" t="s">
        <v>15</v>
      </c>
      <c r="B549" t="s">
        <v>827</v>
      </c>
      <c r="C549" t="s">
        <v>1084</v>
      </c>
      <c r="D549" t="s">
        <v>1085</v>
      </c>
      <c r="E549" t="s">
        <v>19</v>
      </c>
      <c r="F549">
        <v>2</v>
      </c>
      <c r="G549">
        <v>193.92500000000001</v>
      </c>
      <c r="H549">
        <v>387.84906000000001</v>
      </c>
    </row>
    <row r="550" spans="1:8" hidden="1" x14ac:dyDescent="0.3">
      <c r="A550" t="s">
        <v>15</v>
      </c>
      <c r="B550" t="s">
        <v>827</v>
      </c>
      <c r="C550" t="s">
        <v>1086</v>
      </c>
      <c r="D550" t="s">
        <v>1087</v>
      </c>
      <c r="E550" t="s">
        <v>193</v>
      </c>
      <c r="F550">
        <v>25</v>
      </c>
      <c r="G550">
        <v>427.93799999999999</v>
      </c>
      <c r="H550">
        <v>10698.4375</v>
      </c>
    </row>
    <row r="551" spans="1:8" hidden="1" x14ac:dyDescent="0.3">
      <c r="A551" t="s">
        <v>15</v>
      </c>
      <c r="B551" t="s">
        <v>827</v>
      </c>
      <c r="C551" t="s">
        <v>1088</v>
      </c>
      <c r="D551" t="s">
        <v>1089</v>
      </c>
      <c r="E551" t="s">
        <v>19</v>
      </c>
      <c r="F551">
        <v>15</v>
      </c>
      <c r="G551">
        <v>209.87371428571399</v>
      </c>
      <c r="H551">
        <v>3179.2985800000001</v>
      </c>
    </row>
    <row r="552" spans="1:8" hidden="1" x14ac:dyDescent="0.3">
      <c r="A552" t="s">
        <v>15</v>
      </c>
      <c r="B552" t="s">
        <v>827</v>
      </c>
      <c r="C552" t="s">
        <v>1090</v>
      </c>
      <c r="D552" t="s">
        <v>1091</v>
      </c>
      <c r="E552" t="s">
        <v>210</v>
      </c>
      <c r="F552">
        <v>1</v>
      </c>
      <c r="G552">
        <v>450</v>
      </c>
      <c r="H552">
        <v>450</v>
      </c>
    </row>
    <row r="553" spans="1:8" hidden="1" x14ac:dyDescent="0.3">
      <c r="A553" t="s">
        <v>15</v>
      </c>
      <c r="B553" t="s">
        <v>827</v>
      </c>
      <c r="C553" t="s">
        <v>1092</v>
      </c>
      <c r="D553" t="s">
        <v>1093</v>
      </c>
      <c r="E553" t="s">
        <v>19</v>
      </c>
      <c r="F553">
        <v>1</v>
      </c>
      <c r="G553">
        <v>2937.2240000000002</v>
      </c>
      <c r="H553">
        <v>2937.22442</v>
      </c>
    </row>
    <row r="554" spans="1:8" hidden="1" x14ac:dyDescent="0.3">
      <c r="A554" t="s">
        <v>15</v>
      </c>
      <c r="B554" t="s">
        <v>827</v>
      </c>
      <c r="C554" t="s">
        <v>1094</v>
      </c>
      <c r="D554" t="s">
        <v>1095</v>
      </c>
      <c r="E554" t="s">
        <v>19</v>
      </c>
      <c r="F554">
        <v>6</v>
      </c>
      <c r="G554">
        <v>2015.2</v>
      </c>
      <c r="H554">
        <v>12091.2</v>
      </c>
    </row>
    <row r="555" spans="1:8" hidden="1" x14ac:dyDescent="0.3">
      <c r="A555" t="s">
        <v>15</v>
      </c>
      <c r="B555" t="s">
        <v>827</v>
      </c>
      <c r="C555" t="s">
        <v>1096</v>
      </c>
      <c r="D555" t="s">
        <v>1097</v>
      </c>
      <c r="E555" t="s">
        <v>19</v>
      </c>
      <c r="F555">
        <v>18</v>
      </c>
      <c r="G555">
        <v>536.71600000000001</v>
      </c>
      <c r="H555">
        <v>10000.04286</v>
      </c>
    </row>
    <row r="556" spans="1:8" hidden="1" x14ac:dyDescent="0.3">
      <c r="A556" t="s">
        <v>15</v>
      </c>
      <c r="B556" t="s">
        <v>827</v>
      </c>
      <c r="C556" t="s">
        <v>1098</v>
      </c>
      <c r="D556" t="s">
        <v>1099</v>
      </c>
      <c r="E556" t="s">
        <v>19</v>
      </c>
      <c r="F556">
        <v>2</v>
      </c>
      <c r="G556">
        <v>866.87699999999995</v>
      </c>
      <c r="H556">
        <v>1733.75458</v>
      </c>
    </row>
    <row r="557" spans="1:8" hidden="1" x14ac:dyDescent="0.3">
      <c r="A557" t="s">
        <v>15</v>
      </c>
      <c r="B557" t="s">
        <v>827</v>
      </c>
      <c r="C557" t="s">
        <v>1100</v>
      </c>
      <c r="D557" t="s">
        <v>1101</v>
      </c>
      <c r="E557" t="s">
        <v>19</v>
      </c>
      <c r="F557">
        <v>3</v>
      </c>
      <c r="G557">
        <v>1179.8389999999999</v>
      </c>
      <c r="H557">
        <v>3539.5166399999998</v>
      </c>
    </row>
    <row r="558" spans="1:8" hidden="1" x14ac:dyDescent="0.3">
      <c r="A558" t="s">
        <v>15</v>
      </c>
      <c r="B558" t="s">
        <v>827</v>
      </c>
      <c r="C558" t="s">
        <v>1102</v>
      </c>
      <c r="D558" t="s">
        <v>1103</v>
      </c>
      <c r="E558" t="s">
        <v>19</v>
      </c>
      <c r="F558">
        <v>2</v>
      </c>
      <c r="G558">
        <v>7242.5110000000004</v>
      </c>
      <c r="H558">
        <v>14485.021580000001</v>
      </c>
    </row>
    <row r="559" spans="1:8" hidden="1" x14ac:dyDescent="0.3">
      <c r="A559" t="s">
        <v>15</v>
      </c>
      <c r="B559" t="s">
        <v>827</v>
      </c>
      <c r="C559" t="s">
        <v>1104</v>
      </c>
      <c r="D559" t="s">
        <v>1105</v>
      </c>
      <c r="E559" t="s">
        <v>19</v>
      </c>
      <c r="F559">
        <v>2</v>
      </c>
      <c r="G559">
        <v>8338.3430000000008</v>
      </c>
      <c r="H559">
        <v>16676.685000000001</v>
      </c>
    </row>
    <row r="560" spans="1:8" hidden="1" x14ac:dyDescent="0.3">
      <c r="A560" t="s">
        <v>15</v>
      </c>
      <c r="B560" t="s">
        <v>827</v>
      </c>
      <c r="C560" t="s">
        <v>1106</v>
      </c>
      <c r="D560" t="s">
        <v>1107</v>
      </c>
      <c r="E560" t="s">
        <v>19</v>
      </c>
      <c r="F560">
        <v>2</v>
      </c>
      <c r="G560">
        <v>370.03899999999999</v>
      </c>
      <c r="H560">
        <v>740.07856000000004</v>
      </c>
    </row>
    <row r="561" spans="1:8" hidden="1" x14ac:dyDescent="0.3">
      <c r="A561" t="s">
        <v>15</v>
      </c>
      <c r="B561" t="s">
        <v>827</v>
      </c>
      <c r="C561" t="s">
        <v>1108</v>
      </c>
      <c r="D561" t="s">
        <v>1109</v>
      </c>
      <c r="E561" t="s">
        <v>19</v>
      </c>
      <c r="F561">
        <v>1</v>
      </c>
      <c r="G561">
        <v>7366.674</v>
      </c>
      <c r="H561">
        <v>7366.6742199999999</v>
      </c>
    </row>
    <row r="562" spans="1:8" hidden="1" x14ac:dyDescent="0.3">
      <c r="A562" t="s">
        <v>15</v>
      </c>
      <c r="B562" t="s">
        <v>827</v>
      </c>
      <c r="C562" t="s">
        <v>1110</v>
      </c>
      <c r="D562" t="s">
        <v>1111</v>
      </c>
      <c r="E562" t="s">
        <v>19</v>
      </c>
      <c r="F562">
        <v>1</v>
      </c>
      <c r="G562">
        <v>371.03300000000002</v>
      </c>
      <c r="H562">
        <v>371.03262000000001</v>
      </c>
    </row>
    <row r="563" spans="1:8" hidden="1" x14ac:dyDescent="0.3">
      <c r="A563" t="s">
        <v>15</v>
      </c>
      <c r="B563" t="s">
        <v>827</v>
      </c>
      <c r="C563" t="s">
        <v>1112</v>
      </c>
      <c r="D563" t="s">
        <v>1113</v>
      </c>
      <c r="E563" t="s">
        <v>19</v>
      </c>
      <c r="F563">
        <v>2</v>
      </c>
      <c r="G563">
        <v>999.75</v>
      </c>
      <c r="H563">
        <v>1999.5</v>
      </c>
    </row>
    <row r="564" spans="1:8" hidden="1" x14ac:dyDescent="0.3">
      <c r="A564" t="s">
        <v>15</v>
      </c>
      <c r="B564" t="s">
        <v>827</v>
      </c>
      <c r="C564" t="s">
        <v>1114</v>
      </c>
      <c r="D564" t="s">
        <v>1115</v>
      </c>
      <c r="E564" t="s">
        <v>945</v>
      </c>
      <c r="F564">
        <v>2</v>
      </c>
      <c r="G564">
        <v>962.48</v>
      </c>
      <c r="H564">
        <v>1924.96</v>
      </c>
    </row>
    <row r="565" spans="1:8" hidden="1" x14ac:dyDescent="0.3">
      <c r="A565" t="s">
        <v>15</v>
      </c>
      <c r="B565" t="s">
        <v>827</v>
      </c>
      <c r="C565" t="s">
        <v>1116</v>
      </c>
      <c r="D565" t="s">
        <v>1117</v>
      </c>
      <c r="E565" t="s">
        <v>19</v>
      </c>
      <c r="F565">
        <v>1</v>
      </c>
      <c r="G565">
        <v>538.5</v>
      </c>
      <c r="H565">
        <v>538.5</v>
      </c>
    </row>
    <row r="566" spans="1:8" hidden="1" x14ac:dyDescent="0.3">
      <c r="A566" t="s">
        <v>15</v>
      </c>
      <c r="B566" t="s">
        <v>827</v>
      </c>
      <c r="C566" t="s">
        <v>1118</v>
      </c>
      <c r="D566" t="s">
        <v>1119</v>
      </c>
      <c r="E566" t="s">
        <v>19</v>
      </c>
      <c r="F566">
        <v>1</v>
      </c>
      <c r="G566">
        <v>1072.7</v>
      </c>
      <c r="H566">
        <v>1072.7</v>
      </c>
    </row>
    <row r="567" spans="1:8" hidden="1" x14ac:dyDescent="0.3">
      <c r="A567" t="s">
        <v>15</v>
      </c>
      <c r="B567" t="s">
        <v>827</v>
      </c>
      <c r="C567" t="s">
        <v>1120</v>
      </c>
      <c r="D567" t="s">
        <v>1121</v>
      </c>
      <c r="E567" t="s">
        <v>19</v>
      </c>
      <c r="F567">
        <v>1</v>
      </c>
      <c r="G567">
        <v>1466.4</v>
      </c>
      <c r="H567">
        <v>1466.4</v>
      </c>
    </row>
    <row r="568" spans="1:8" hidden="1" x14ac:dyDescent="0.3">
      <c r="A568" t="s">
        <v>15</v>
      </c>
      <c r="B568" t="s">
        <v>827</v>
      </c>
      <c r="C568" t="s">
        <v>1122</v>
      </c>
      <c r="D568" t="s">
        <v>1123</v>
      </c>
      <c r="E568" t="s">
        <v>210</v>
      </c>
      <c r="F568">
        <v>2</v>
      </c>
      <c r="G568">
        <v>2791.9479999999999</v>
      </c>
      <c r="H568">
        <v>5583.8954599999997</v>
      </c>
    </row>
    <row r="569" spans="1:8" hidden="1" x14ac:dyDescent="0.3">
      <c r="A569" t="s">
        <v>15</v>
      </c>
      <c r="B569" t="s">
        <v>827</v>
      </c>
      <c r="C569" t="s">
        <v>1124</v>
      </c>
      <c r="D569" t="s">
        <v>1125</v>
      </c>
      <c r="E569" t="s">
        <v>19</v>
      </c>
      <c r="F569">
        <v>1</v>
      </c>
      <c r="G569">
        <v>2553.8009999999999</v>
      </c>
      <c r="H569">
        <v>2553.8005400000002</v>
      </c>
    </row>
    <row r="570" spans="1:8" hidden="1" x14ac:dyDescent="0.3">
      <c r="A570" t="s">
        <v>15</v>
      </c>
      <c r="B570" t="s">
        <v>827</v>
      </c>
      <c r="C570" t="s">
        <v>1126</v>
      </c>
      <c r="D570" t="s">
        <v>1127</v>
      </c>
      <c r="E570" t="s">
        <v>19</v>
      </c>
      <c r="F570">
        <v>1</v>
      </c>
      <c r="G570">
        <v>2263.482</v>
      </c>
      <c r="H570">
        <v>2263.4816099999998</v>
      </c>
    </row>
    <row r="571" spans="1:8" hidden="1" x14ac:dyDescent="0.3">
      <c r="A571" t="s">
        <v>15</v>
      </c>
      <c r="B571" t="s">
        <v>827</v>
      </c>
      <c r="C571" t="s">
        <v>1128</v>
      </c>
      <c r="D571" t="s">
        <v>1129</v>
      </c>
      <c r="E571" t="s">
        <v>19</v>
      </c>
      <c r="F571">
        <v>1</v>
      </c>
      <c r="G571">
        <v>6953.4229999999998</v>
      </c>
      <c r="H571">
        <v>6953.4234299999998</v>
      </c>
    </row>
    <row r="572" spans="1:8" hidden="1" x14ac:dyDescent="0.3">
      <c r="A572" t="s">
        <v>15</v>
      </c>
      <c r="B572" t="s">
        <v>827</v>
      </c>
      <c r="C572" t="s">
        <v>1130</v>
      </c>
      <c r="D572" t="s">
        <v>1131</v>
      </c>
      <c r="E572" t="s">
        <v>19</v>
      </c>
      <c r="F572">
        <v>2</v>
      </c>
      <c r="G572">
        <v>6073.2430000000004</v>
      </c>
      <c r="H572">
        <v>12146.486489999999</v>
      </c>
    </row>
    <row r="573" spans="1:8" hidden="1" x14ac:dyDescent="0.3">
      <c r="A573" t="s">
        <v>15</v>
      </c>
      <c r="B573" t="s">
        <v>827</v>
      </c>
      <c r="C573" t="s">
        <v>296</v>
      </c>
      <c r="D573" t="s">
        <v>297</v>
      </c>
      <c r="E573" t="s">
        <v>233</v>
      </c>
      <c r="F573">
        <v>360</v>
      </c>
      <c r="G573">
        <v>238.322</v>
      </c>
      <c r="H573">
        <v>85795.900200000004</v>
      </c>
    </row>
    <row r="574" spans="1:8" hidden="1" x14ac:dyDescent="0.3">
      <c r="A574" t="s">
        <v>15</v>
      </c>
      <c r="B574" t="s">
        <v>827</v>
      </c>
      <c r="C574" t="s">
        <v>300</v>
      </c>
      <c r="D574" t="s">
        <v>301</v>
      </c>
      <c r="E574" t="s">
        <v>293</v>
      </c>
      <c r="F574">
        <v>420</v>
      </c>
      <c r="G574">
        <v>192.49100000000001</v>
      </c>
      <c r="H574">
        <v>80846.333400000003</v>
      </c>
    </row>
    <row r="575" spans="1:8" hidden="1" x14ac:dyDescent="0.3">
      <c r="A575" t="s">
        <v>15</v>
      </c>
      <c r="B575" t="s">
        <v>827</v>
      </c>
      <c r="C575" t="s">
        <v>1132</v>
      </c>
      <c r="D575" t="s">
        <v>1133</v>
      </c>
      <c r="E575" t="s">
        <v>293</v>
      </c>
      <c r="F575">
        <v>36</v>
      </c>
      <c r="G575">
        <v>101.485</v>
      </c>
      <c r="H575">
        <v>3650.1871599999999</v>
      </c>
    </row>
    <row r="576" spans="1:8" hidden="1" x14ac:dyDescent="0.3">
      <c r="A576" t="s">
        <v>15</v>
      </c>
      <c r="B576" t="s">
        <v>827</v>
      </c>
      <c r="C576" t="s">
        <v>1134</v>
      </c>
      <c r="D576" t="s">
        <v>1135</v>
      </c>
      <c r="E576" t="s">
        <v>233</v>
      </c>
      <c r="F576">
        <v>5</v>
      </c>
      <c r="G576">
        <v>2122.0949999999998</v>
      </c>
      <c r="H576">
        <v>10610.476699999999</v>
      </c>
    </row>
    <row r="577" spans="1:8" hidden="1" x14ac:dyDescent="0.3">
      <c r="A577" t="s">
        <v>15</v>
      </c>
      <c r="B577" t="s">
        <v>827</v>
      </c>
      <c r="C577" t="s">
        <v>1136</v>
      </c>
      <c r="D577" t="s">
        <v>1137</v>
      </c>
      <c r="E577" t="s">
        <v>19</v>
      </c>
      <c r="F577">
        <v>1</v>
      </c>
      <c r="G577">
        <v>247.74299999999999</v>
      </c>
      <c r="H577">
        <v>247.74279000000001</v>
      </c>
    </row>
    <row r="578" spans="1:8" hidden="1" x14ac:dyDescent="0.3">
      <c r="A578" t="s">
        <v>15</v>
      </c>
      <c r="B578" t="s">
        <v>827</v>
      </c>
      <c r="C578" t="s">
        <v>1138</v>
      </c>
      <c r="D578" t="s">
        <v>1139</v>
      </c>
      <c r="E578" t="s">
        <v>19</v>
      </c>
      <c r="F578">
        <v>1</v>
      </c>
      <c r="G578">
        <v>491.99599999999998</v>
      </c>
      <c r="H578">
        <v>491.99624</v>
      </c>
    </row>
    <row r="579" spans="1:8" hidden="1" x14ac:dyDescent="0.3">
      <c r="A579" t="s">
        <v>15</v>
      </c>
      <c r="B579" t="s">
        <v>1140</v>
      </c>
      <c r="C579" t="s">
        <v>1141</v>
      </c>
      <c r="D579" t="s">
        <v>1142</v>
      </c>
      <c r="E579" t="s">
        <v>19</v>
      </c>
      <c r="F579">
        <v>1</v>
      </c>
      <c r="G579">
        <v>64145.245999999999</v>
      </c>
      <c r="H579">
        <v>64145.246099999997</v>
      </c>
    </row>
    <row r="580" spans="1:8" hidden="1" x14ac:dyDescent="0.3">
      <c r="A580" t="s">
        <v>15</v>
      </c>
      <c r="B580" t="s">
        <v>1140</v>
      </c>
      <c r="C580" t="s">
        <v>1143</v>
      </c>
      <c r="D580" t="s">
        <v>1144</v>
      </c>
      <c r="E580" t="s">
        <v>19</v>
      </c>
      <c r="F580">
        <v>8</v>
      </c>
      <c r="G580">
        <v>27414.187999999998</v>
      </c>
      <c r="H580">
        <v>219313.5</v>
      </c>
    </row>
    <row r="581" spans="1:8" hidden="1" x14ac:dyDescent="0.3">
      <c r="A581" t="s">
        <v>15</v>
      </c>
      <c r="B581" t="s">
        <v>1140</v>
      </c>
      <c r="C581" t="s">
        <v>1145</v>
      </c>
      <c r="D581" t="s">
        <v>1146</v>
      </c>
      <c r="E581" t="s">
        <v>19</v>
      </c>
      <c r="F581">
        <v>1</v>
      </c>
      <c r="G581">
        <v>81175.308000000005</v>
      </c>
      <c r="H581">
        <v>81175.308019999997</v>
      </c>
    </row>
    <row r="582" spans="1:8" hidden="1" x14ac:dyDescent="0.3">
      <c r="A582" t="s">
        <v>15</v>
      </c>
      <c r="B582" t="s">
        <v>1140</v>
      </c>
      <c r="C582" t="s">
        <v>1147</v>
      </c>
      <c r="D582" t="s">
        <v>1148</v>
      </c>
      <c r="E582" t="s">
        <v>19</v>
      </c>
      <c r="F582">
        <v>1</v>
      </c>
      <c r="G582">
        <v>101507.46</v>
      </c>
      <c r="H582">
        <v>101507.46</v>
      </c>
    </row>
    <row r="583" spans="1:8" hidden="1" x14ac:dyDescent="0.3">
      <c r="A583" t="s">
        <v>15</v>
      </c>
      <c r="B583" t="s">
        <v>1140</v>
      </c>
      <c r="C583" t="s">
        <v>1149</v>
      </c>
      <c r="D583" t="s">
        <v>1150</v>
      </c>
      <c r="E583" t="s">
        <v>210</v>
      </c>
      <c r="F583">
        <v>3</v>
      </c>
      <c r="G583">
        <v>30661.332999999999</v>
      </c>
      <c r="H583">
        <v>91984</v>
      </c>
    </row>
    <row r="584" spans="1:8" hidden="1" x14ac:dyDescent="0.3">
      <c r="A584" t="s">
        <v>15</v>
      </c>
      <c r="B584" t="s">
        <v>1140</v>
      </c>
      <c r="C584" t="s">
        <v>1151</v>
      </c>
      <c r="D584" t="s">
        <v>1152</v>
      </c>
      <c r="E584" t="s">
        <v>19</v>
      </c>
      <c r="F584">
        <v>5</v>
      </c>
      <c r="G584">
        <v>1350</v>
      </c>
      <c r="H584">
        <v>6750</v>
      </c>
    </row>
    <row r="585" spans="1:8" hidden="1" x14ac:dyDescent="0.3">
      <c r="A585" t="s">
        <v>15</v>
      </c>
      <c r="B585" t="s">
        <v>1140</v>
      </c>
      <c r="C585" t="s">
        <v>1153</v>
      </c>
      <c r="D585" t="s">
        <v>1154</v>
      </c>
      <c r="E585" t="s">
        <v>210</v>
      </c>
      <c r="F585">
        <v>2</v>
      </c>
      <c r="G585">
        <v>2049.9459999999999</v>
      </c>
      <c r="H585">
        <v>4099.8917199999996</v>
      </c>
    </row>
    <row r="586" spans="1:8" hidden="1" x14ac:dyDescent="0.3">
      <c r="A586" t="s">
        <v>15</v>
      </c>
      <c r="B586" t="s">
        <v>1140</v>
      </c>
      <c r="C586" t="s">
        <v>1155</v>
      </c>
      <c r="D586" t="s">
        <v>1156</v>
      </c>
      <c r="E586" t="s">
        <v>210</v>
      </c>
      <c r="F586">
        <v>1</v>
      </c>
      <c r="G586">
        <v>11300</v>
      </c>
      <c r="H586">
        <v>11300</v>
      </c>
    </row>
    <row r="587" spans="1:8" hidden="1" x14ac:dyDescent="0.3">
      <c r="A587" t="s">
        <v>15</v>
      </c>
      <c r="B587" t="s">
        <v>1140</v>
      </c>
      <c r="C587" t="s">
        <v>1157</v>
      </c>
      <c r="D587" t="s">
        <v>1158</v>
      </c>
      <c r="E587" t="s">
        <v>210</v>
      </c>
      <c r="F587">
        <v>1</v>
      </c>
      <c r="G587">
        <v>11300</v>
      </c>
      <c r="H587">
        <v>11300</v>
      </c>
    </row>
    <row r="588" spans="1:8" hidden="1" x14ac:dyDescent="0.3">
      <c r="A588" t="s">
        <v>15</v>
      </c>
      <c r="B588" t="s">
        <v>1140</v>
      </c>
      <c r="C588" t="s">
        <v>1159</v>
      </c>
      <c r="D588" t="s">
        <v>1160</v>
      </c>
      <c r="E588" t="s">
        <v>210</v>
      </c>
      <c r="F588">
        <v>7</v>
      </c>
      <c r="G588">
        <v>5613.2430000000004</v>
      </c>
      <c r="H588">
        <v>39292.697639999999</v>
      </c>
    </row>
    <row r="589" spans="1:8" hidden="1" x14ac:dyDescent="0.3">
      <c r="A589" t="s">
        <v>15</v>
      </c>
      <c r="B589" t="s">
        <v>1140</v>
      </c>
      <c r="C589" t="s">
        <v>1161</v>
      </c>
      <c r="D589" t="s">
        <v>1162</v>
      </c>
      <c r="E589" t="s">
        <v>210</v>
      </c>
      <c r="F589">
        <v>5</v>
      </c>
      <c r="G589">
        <v>3104</v>
      </c>
      <c r="H589">
        <v>15520</v>
      </c>
    </row>
    <row r="590" spans="1:8" hidden="1" x14ac:dyDescent="0.3">
      <c r="A590" t="s">
        <v>15</v>
      </c>
      <c r="B590" t="s">
        <v>1140</v>
      </c>
      <c r="C590" t="s">
        <v>1163</v>
      </c>
      <c r="D590" t="s">
        <v>1164</v>
      </c>
      <c r="E590" t="s">
        <v>210</v>
      </c>
      <c r="F590">
        <v>5</v>
      </c>
      <c r="G590">
        <v>3783</v>
      </c>
      <c r="H590">
        <v>18915</v>
      </c>
    </row>
    <row r="591" spans="1:8" hidden="1" x14ac:dyDescent="0.3">
      <c r="A591" t="s">
        <v>15</v>
      </c>
      <c r="B591" t="s">
        <v>1140</v>
      </c>
      <c r="C591" t="s">
        <v>1165</v>
      </c>
      <c r="D591" t="s">
        <v>1166</v>
      </c>
      <c r="E591" t="s">
        <v>19</v>
      </c>
      <c r="F591">
        <v>8</v>
      </c>
      <c r="G591">
        <v>39879.375</v>
      </c>
      <c r="H591">
        <v>319035</v>
      </c>
    </row>
    <row r="592" spans="1:8" hidden="1" x14ac:dyDescent="0.3">
      <c r="A592" t="s">
        <v>15</v>
      </c>
      <c r="B592" t="s">
        <v>1140</v>
      </c>
      <c r="C592" t="s">
        <v>1167</v>
      </c>
      <c r="D592" t="s">
        <v>1168</v>
      </c>
      <c r="E592" t="s">
        <v>19</v>
      </c>
      <c r="F592">
        <v>2</v>
      </c>
      <c r="G592">
        <v>43344</v>
      </c>
      <c r="H592">
        <v>86688</v>
      </c>
    </row>
    <row r="593" spans="1:8" hidden="1" x14ac:dyDescent="0.3">
      <c r="A593" t="s">
        <v>15</v>
      </c>
      <c r="B593" t="s">
        <v>1140</v>
      </c>
      <c r="C593" t="s">
        <v>1169</v>
      </c>
      <c r="D593" t="s">
        <v>1170</v>
      </c>
      <c r="E593" t="s">
        <v>19</v>
      </c>
      <c r="F593">
        <v>8</v>
      </c>
      <c r="G593">
        <v>80</v>
      </c>
      <c r="H593">
        <v>640</v>
      </c>
    </row>
    <row r="594" spans="1:8" hidden="1" x14ac:dyDescent="0.3">
      <c r="A594" t="s">
        <v>15</v>
      </c>
      <c r="B594" t="s">
        <v>1140</v>
      </c>
      <c r="C594" t="s">
        <v>831</v>
      </c>
      <c r="D594" t="s">
        <v>832</v>
      </c>
      <c r="E594" t="s">
        <v>19</v>
      </c>
      <c r="F594">
        <v>10</v>
      </c>
      <c r="G594">
        <v>87.058999999999997</v>
      </c>
      <c r="H594">
        <v>870.58820000000003</v>
      </c>
    </row>
    <row r="595" spans="1:8" hidden="1" x14ac:dyDescent="0.3">
      <c r="A595" t="s">
        <v>15</v>
      </c>
      <c r="B595" t="s">
        <v>1140</v>
      </c>
      <c r="C595" t="s">
        <v>1171</v>
      </c>
      <c r="D595" t="s">
        <v>1172</v>
      </c>
      <c r="E595" t="s">
        <v>19</v>
      </c>
      <c r="F595">
        <v>3</v>
      </c>
      <c r="G595">
        <v>32093.8856666666</v>
      </c>
      <c r="H595">
        <v>96281.656350000005</v>
      </c>
    </row>
    <row r="596" spans="1:8" hidden="1" x14ac:dyDescent="0.3">
      <c r="A596" t="s">
        <v>15</v>
      </c>
      <c r="B596" t="s">
        <v>1140</v>
      </c>
      <c r="C596" t="s">
        <v>1173</v>
      </c>
      <c r="D596" t="s">
        <v>1174</v>
      </c>
      <c r="E596" t="s">
        <v>19</v>
      </c>
      <c r="F596">
        <v>1</v>
      </c>
      <c r="G596">
        <v>5746.5640000000003</v>
      </c>
      <c r="H596">
        <v>5746.5641800000003</v>
      </c>
    </row>
    <row r="597" spans="1:8" hidden="1" x14ac:dyDescent="0.3">
      <c r="A597" t="s">
        <v>15</v>
      </c>
      <c r="B597" t="s">
        <v>1140</v>
      </c>
      <c r="C597" t="s">
        <v>1175</v>
      </c>
      <c r="D597" t="s">
        <v>1176</v>
      </c>
      <c r="E597" t="s">
        <v>19</v>
      </c>
      <c r="F597">
        <v>1</v>
      </c>
      <c r="G597">
        <v>54665</v>
      </c>
      <c r="H597">
        <v>54665</v>
      </c>
    </row>
    <row r="598" spans="1:8" hidden="1" x14ac:dyDescent="0.3">
      <c r="A598" t="s">
        <v>15</v>
      </c>
      <c r="B598" t="s">
        <v>1140</v>
      </c>
      <c r="C598" t="s">
        <v>1177</v>
      </c>
      <c r="D598" t="s">
        <v>1178</v>
      </c>
      <c r="E598" t="s">
        <v>19</v>
      </c>
      <c r="F598">
        <v>1</v>
      </c>
      <c r="G598">
        <v>22830.431</v>
      </c>
      <c r="H598">
        <v>22830.431039999999</v>
      </c>
    </row>
    <row r="599" spans="1:8" hidden="1" x14ac:dyDescent="0.3">
      <c r="A599" t="s">
        <v>15</v>
      </c>
      <c r="B599" t="s">
        <v>1140</v>
      </c>
      <c r="C599" t="s">
        <v>1179</v>
      </c>
      <c r="D599" t="s">
        <v>1180</v>
      </c>
      <c r="E599" t="s">
        <v>19</v>
      </c>
      <c r="F599">
        <v>2</v>
      </c>
      <c r="G599">
        <v>46840</v>
      </c>
      <c r="H599">
        <v>93680</v>
      </c>
    </row>
    <row r="600" spans="1:8" hidden="1" x14ac:dyDescent="0.3">
      <c r="A600" t="s">
        <v>15</v>
      </c>
      <c r="B600" t="s">
        <v>1140</v>
      </c>
      <c r="C600" t="s">
        <v>1181</v>
      </c>
      <c r="D600" t="s">
        <v>1182</v>
      </c>
      <c r="E600" t="s">
        <v>19</v>
      </c>
      <c r="F600">
        <v>2</v>
      </c>
      <c r="G600">
        <v>16716</v>
      </c>
      <c r="H600">
        <v>33432</v>
      </c>
    </row>
    <row r="601" spans="1:8" hidden="1" x14ac:dyDescent="0.3">
      <c r="A601" t="s">
        <v>15</v>
      </c>
      <c r="B601" t="s">
        <v>1140</v>
      </c>
      <c r="C601" t="s">
        <v>1183</v>
      </c>
      <c r="D601" t="s">
        <v>1184</v>
      </c>
      <c r="E601" t="s">
        <v>210</v>
      </c>
      <c r="F601">
        <v>2</v>
      </c>
      <c r="G601">
        <v>55000</v>
      </c>
      <c r="H601">
        <v>110000</v>
      </c>
    </row>
    <row r="602" spans="1:8" hidden="1" x14ac:dyDescent="0.3">
      <c r="A602" t="s">
        <v>15</v>
      </c>
      <c r="B602" t="s">
        <v>1140</v>
      </c>
      <c r="C602" t="s">
        <v>1185</v>
      </c>
      <c r="D602" t="s">
        <v>1186</v>
      </c>
      <c r="E602" t="s">
        <v>210</v>
      </c>
      <c r="F602">
        <v>2</v>
      </c>
      <c r="G602">
        <v>9800</v>
      </c>
      <c r="H602">
        <v>19600</v>
      </c>
    </row>
    <row r="603" spans="1:8" hidden="1" x14ac:dyDescent="0.3">
      <c r="A603" t="s">
        <v>15</v>
      </c>
      <c r="B603" t="s">
        <v>1140</v>
      </c>
      <c r="C603" t="s">
        <v>1187</v>
      </c>
      <c r="D603" t="s">
        <v>1188</v>
      </c>
      <c r="E603" t="s">
        <v>19</v>
      </c>
      <c r="F603">
        <v>1</v>
      </c>
      <c r="G603">
        <v>46380</v>
      </c>
      <c r="H603">
        <v>46380</v>
      </c>
    </row>
    <row r="604" spans="1:8" hidden="1" x14ac:dyDescent="0.3">
      <c r="A604" t="s">
        <v>15</v>
      </c>
      <c r="B604" t="s">
        <v>1140</v>
      </c>
      <c r="C604" t="s">
        <v>1189</v>
      </c>
      <c r="D604" t="s">
        <v>1190</v>
      </c>
      <c r="E604" t="s">
        <v>19</v>
      </c>
      <c r="F604">
        <v>1</v>
      </c>
      <c r="G604">
        <v>46380</v>
      </c>
      <c r="H604">
        <v>46380</v>
      </c>
    </row>
    <row r="605" spans="1:8" hidden="1" x14ac:dyDescent="0.3">
      <c r="A605" t="s">
        <v>15</v>
      </c>
      <c r="B605" t="s">
        <v>1140</v>
      </c>
      <c r="C605" t="s">
        <v>1191</v>
      </c>
      <c r="D605" t="s">
        <v>1192</v>
      </c>
      <c r="E605" t="s">
        <v>210</v>
      </c>
      <c r="F605">
        <v>1</v>
      </c>
      <c r="G605">
        <v>87555</v>
      </c>
      <c r="H605">
        <v>87555</v>
      </c>
    </row>
    <row r="606" spans="1:8" hidden="1" x14ac:dyDescent="0.3">
      <c r="A606" t="s">
        <v>15</v>
      </c>
      <c r="B606" t="s">
        <v>1140</v>
      </c>
      <c r="C606" t="s">
        <v>1193</v>
      </c>
      <c r="D606" t="s">
        <v>1194</v>
      </c>
      <c r="E606" t="s">
        <v>19</v>
      </c>
      <c r="F606">
        <v>20</v>
      </c>
      <c r="G606">
        <v>5007.8</v>
      </c>
      <c r="H606">
        <v>100156</v>
      </c>
    </row>
    <row r="607" spans="1:8" hidden="1" x14ac:dyDescent="0.3">
      <c r="A607" t="s">
        <v>15</v>
      </c>
      <c r="B607" t="s">
        <v>1140</v>
      </c>
      <c r="C607" t="s">
        <v>1195</v>
      </c>
      <c r="D607" t="s">
        <v>1196</v>
      </c>
      <c r="E607" t="s">
        <v>19</v>
      </c>
      <c r="F607">
        <v>10</v>
      </c>
      <c r="G607">
        <v>6.4969999999999999</v>
      </c>
      <c r="H607">
        <v>64.971100000000007</v>
      </c>
    </row>
    <row r="608" spans="1:8" hidden="1" x14ac:dyDescent="0.3">
      <c r="A608" t="s">
        <v>15</v>
      </c>
      <c r="B608" t="s">
        <v>1140</v>
      </c>
      <c r="C608" t="s">
        <v>1197</v>
      </c>
      <c r="D608" t="s">
        <v>1198</v>
      </c>
      <c r="E608" t="s">
        <v>19</v>
      </c>
      <c r="F608">
        <v>20</v>
      </c>
      <c r="G608">
        <v>5.476</v>
      </c>
      <c r="H608">
        <v>109.5198</v>
      </c>
    </row>
    <row r="609" spans="1:8" hidden="1" x14ac:dyDescent="0.3">
      <c r="A609" t="s">
        <v>15</v>
      </c>
      <c r="B609" t="s">
        <v>1140</v>
      </c>
      <c r="C609" t="s">
        <v>1199</v>
      </c>
      <c r="D609" t="s">
        <v>1200</v>
      </c>
      <c r="E609" t="s">
        <v>19</v>
      </c>
      <c r="F609">
        <v>8</v>
      </c>
      <c r="G609">
        <v>100.479</v>
      </c>
      <c r="H609">
        <v>436.8485</v>
      </c>
    </row>
    <row r="610" spans="1:8" hidden="1" x14ac:dyDescent="0.3">
      <c r="A610" t="s">
        <v>15</v>
      </c>
      <c r="B610" t="s">
        <v>1140</v>
      </c>
      <c r="C610" t="s">
        <v>1201</v>
      </c>
      <c r="D610" t="s">
        <v>1202</v>
      </c>
      <c r="E610" t="s">
        <v>210</v>
      </c>
      <c r="F610">
        <v>80</v>
      </c>
      <c r="G610">
        <v>147.77350000000001</v>
      </c>
      <c r="H610">
        <v>11810.311040000001</v>
      </c>
    </row>
    <row r="611" spans="1:8" hidden="1" x14ac:dyDescent="0.3">
      <c r="A611" t="s">
        <v>15</v>
      </c>
      <c r="B611" t="s">
        <v>1140</v>
      </c>
      <c r="C611" t="s">
        <v>1203</v>
      </c>
      <c r="D611" t="s">
        <v>1204</v>
      </c>
      <c r="E611" t="s">
        <v>210</v>
      </c>
      <c r="F611">
        <v>28</v>
      </c>
      <c r="G611">
        <v>88.394000000000005</v>
      </c>
      <c r="H611">
        <v>2478.8774800000001</v>
      </c>
    </row>
    <row r="612" spans="1:8" hidden="1" x14ac:dyDescent="0.3">
      <c r="A612" t="s">
        <v>15</v>
      </c>
      <c r="B612" t="s">
        <v>1140</v>
      </c>
      <c r="C612" t="s">
        <v>1205</v>
      </c>
      <c r="D612" t="s">
        <v>1206</v>
      </c>
      <c r="E612" t="s">
        <v>210</v>
      </c>
      <c r="F612">
        <v>40</v>
      </c>
      <c r="G612">
        <v>21.268000000000001</v>
      </c>
      <c r="H612">
        <v>850.71807999999999</v>
      </c>
    </row>
    <row r="613" spans="1:8" hidden="1" x14ac:dyDescent="0.3">
      <c r="A613" t="s">
        <v>15</v>
      </c>
      <c r="B613" t="s">
        <v>1140</v>
      </c>
      <c r="C613" t="s">
        <v>1207</v>
      </c>
      <c r="D613" t="s">
        <v>1208</v>
      </c>
      <c r="E613" t="s">
        <v>210</v>
      </c>
      <c r="F613">
        <v>20</v>
      </c>
      <c r="G613">
        <v>161.0565</v>
      </c>
      <c r="H613">
        <v>3221.13706</v>
      </c>
    </row>
    <row r="614" spans="1:8" hidden="1" x14ac:dyDescent="0.3">
      <c r="A614" t="s">
        <v>15</v>
      </c>
      <c r="B614" t="s">
        <v>1140</v>
      </c>
      <c r="C614" t="s">
        <v>1209</v>
      </c>
      <c r="D614" t="s">
        <v>1210</v>
      </c>
      <c r="E614" t="s">
        <v>210</v>
      </c>
      <c r="F614">
        <v>20</v>
      </c>
      <c r="G614">
        <v>600.48625000000004</v>
      </c>
      <c r="H614">
        <v>12067.1764</v>
      </c>
    </row>
    <row r="615" spans="1:8" hidden="1" x14ac:dyDescent="0.3">
      <c r="A615" t="s">
        <v>15</v>
      </c>
      <c r="B615" t="s">
        <v>1140</v>
      </c>
      <c r="C615" t="s">
        <v>1211</v>
      </c>
      <c r="D615" t="s">
        <v>1212</v>
      </c>
      <c r="E615" t="s">
        <v>210</v>
      </c>
      <c r="F615">
        <v>6</v>
      </c>
      <c r="G615">
        <v>20.875</v>
      </c>
      <c r="H615">
        <v>125.2488</v>
      </c>
    </row>
    <row r="616" spans="1:8" hidden="1" x14ac:dyDescent="0.3">
      <c r="A616" t="s">
        <v>15</v>
      </c>
      <c r="B616" t="s">
        <v>1140</v>
      </c>
      <c r="C616" t="s">
        <v>1213</v>
      </c>
      <c r="D616" t="s">
        <v>1214</v>
      </c>
      <c r="E616" t="s">
        <v>210</v>
      </c>
      <c r="F616">
        <v>86</v>
      </c>
      <c r="G616">
        <v>9.5760000000000005</v>
      </c>
      <c r="H616">
        <v>823.49472000000003</v>
      </c>
    </row>
    <row r="617" spans="1:8" hidden="1" x14ac:dyDescent="0.3">
      <c r="A617" t="s">
        <v>15</v>
      </c>
      <c r="B617" t="s">
        <v>1140</v>
      </c>
      <c r="C617" t="s">
        <v>1215</v>
      </c>
      <c r="D617" t="s">
        <v>1216</v>
      </c>
      <c r="E617" t="s">
        <v>210</v>
      </c>
      <c r="F617">
        <v>25</v>
      </c>
      <c r="G617">
        <v>36.71</v>
      </c>
      <c r="H617">
        <v>917.75250000000005</v>
      </c>
    </row>
    <row r="618" spans="1:8" hidden="1" x14ac:dyDescent="0.3">
      <c r="A618" t="s">
        <v>15</v>
      </c>
      <c r="B618" t="s">
        <v>1140</v>
      </c>
      <c r="C618" t="s">
        <v>1217</v>
      </c>
      <c r="D618" t="s">
        <v>1218</v>
      </c>
      <c r="E618" t="s">
        <v>210</v>
      </c>
      <c r="F618">
        <v>10</v>
      </c>
      <c r="G618">
        <v>99.400999999999996</v>
      </c>
      <c r="H618">
        <v>994.01099999999997</v>
      </c>
    </row>
    <row r="619" spans="1:8" hidden="1" x14ac:dyDescent="0.3">
      <c r="A619" t="s">
        <v>15</v>
      </c>
      <c r="B619" t="s">
        <v>1140</v>
      </c>
      <c r="C619" t="s">
        <v>1219</v>
      </c>
      <c r="D619" t="s">
        <v>1220</v>
      </c>
      <c r="E619" t="s">
        <v>210</v>
      </c>
      <c r="F619">
        <v>40</v>
      </c>
      <c r="G619">
        <v>97.094499999999996</v>
      </c>
      <c r="H619">
        <v>3883.7808</v>
      </c>
    </row>
    <row r="620" spans="1:8" hidden="1" x14ac:dyDescent="0.3">
      <c r="A620" t="s">
        <v>15</v>
      </c>
      <c r="B620" t="s">
        <v>1140</v>
      </c>
      <c r="C620" t="s">
        <v>1221</v>
      </c>
      <c r="D620" t="s">
        <v>1222</v>
      </c>
      <c r="E620" t="s">
        <v>210</v>
      </c>
      <c r="F620">
        <v>15</v>
      </c>
      <c r="G620">
        <v>185.1</v>
      </c>
      <c r="H620">
        <v>2776.5</v>
      </c>
    </row>
    <row r="621" spans="1:8" hidden="1" x14ac:dyDescent="0.3">
      <c r="A621" t="s">
        <v>15</v>
      </c>
      <c r="B621" t="s">
        <v>1140</v>
      </c>
      <c r="C621" t="s">
        <v>1223</v>
      </c>
      <c r="D621" t="s">
        <v>1224</v>
      </c>
      <c r="E621" t="s">
        <v>210</v>
      </c>
      <c r="F621">
        <v>1</v>
      </c>
      <c r="G621">
        <v>98.438000000000002</v>
      </c>
      <c r="H621">
        <v>98.437510000000003</v>
      </c>
    </row>
    <row r="622" spans="1:8" hidden="1" x14ac:dyDescent="0.3">
      <c r="A622" t="s">
        <v>15</v>
      </c>
      <c r="B622" t="s">
        <v>1140</v>
      </c>
      <c r="C622" t="s">
        <v>1225</v>
      </c>
      <c r="D622" t="s">
        <v>1226</v>
      </c>
      <c r="E622" t="s">
        <v>19</v>
      </c>
      <c r="F622">
        <v>5</v>
      </c>
      <c r="G622">
        <v>5.9089999999999998</v>
      </c>
      <c r="H622">
        <v>29.545100000000001</v>
      </c>
    </row>
    <row r="623" spans="1:8" hidden="1" x14ac:dyDescent="0.3">
      <c r="A623" t="s">
        <v>15</v>
      </c>
      <c r="B623" t="s">
        <v>1140</v>
      </c>
      <c r="C623" t="s">
        <v>1227</v>
      </c>
      <c r="D623" t="s">
        <v>1228</v>
      </c>
      <c r="E623" t="s">
        <v>19</v>
      </c>
      <c r="F623">
        <v>4</v>
      </c>
      <c r="G623">
        <v>23.416</v>
      </c>
      <c r="H623">
        <v>93.664000000000001</v>
      </c>
    </row>
    <row r="624" spans="1:8" hidden="1" x14ac:dyDescent="0.3">
      <c r="A624" t="s">
        <v>15</v>
      </c>
      <c r="B624" t="s">
        <v>1140</v>
      </c>
      <c r="C624" t="s">
        <v>1229</v>
      </c>
      <c r="D624" t="s">
        <v>1230</v>
      </c>
      <c r="E624" t="s">
        <v>210</v>
      </c>
      <c r="F624">
        <v>6</v>
      </c>
      <c r="G624">
        <v>173.03399999999999</v>
      </c>
      <c r="H624">
        <v>1038.2030999999999</v>
      </c>
    </row>
    <row r="625" spans="1:8" hidden="1" x14ac:dyDescent="0.3">
      <c r="A625" t="s">
        <v>15</v>
      </c>
      <c r="B625" t="s">
        <v>1140</v>
      </c>
      <c r="C625" t="s">
        <v>885</v>
      </c>
      <c r="D625" t="s">
        <v>886</v>
      </c>
      <c r="E625" t="s">
        <v>233</v>
      </c>
      <c r="F625">
        <v>8</v>
      </c>
      <c r="G625">
        <v>67.878</v>
      </c>
      <c r="H625">
        <v>528.85578999999996</v>
      </c>
    </row>
    <row r="626" spans="1:8" hidden="1" x14ac:dyDescent="0.3">
      <c r="A626" t="s">
        <v>15</v>
      </c>
      <c r="B626" t="s">
        <v>1140</v>
      </c>
      <c r="C626" t="s">
        <v>1231</v>
      </c>
      <c r="D626" t="s">
        <v>1232</v>
      </c>
      <c r="E626" t="s">
        <v>233</v>
      </c>
      <c r="F626">
        <v>2</v>
      </c>
      <c r="G626">
        <v>92.477000000000004</v>
      </c>
      <c r="H626">
        <v>184.95411999999999</v>
      </c>
    </row>
    <row r="627" spans="1:8" hidden="1" x14ac:dyDescent="0.3">
      <c r="A627" t="s">
        <v>15</v>
      </c>
      <c r="B627" t="s">
        <v>1140</v>
      </c>
      <c r="C627" t="s">
        <v>387</v>
      </c>
      <c r="D627" t="s">
        <v>388</v>
      </c>
      <c r="E627" t="s">
        <v>233</v>
      </c>
      <c r="F627">
        <v>5</v>
      </c>
      <c r="G627">
        <v>92.477000000000004</v>
      </c>
      <c r="H627">
        <v>462.38529999999997</v>
      </c>
    </row>
    <row r="628" spans="1:8" hidden="1" x14ac:dyDescent="0.3">
      <c r="A628" t="s">
        <v>15</v>
      </c>
      <c r="B628" t="s">
        <v>1140</v>
      </c>
      <c r="C628" t="s">
        <v>1233</v>
      </c>
      <c r="D628" t="s">
        <v>1234</v>
      </c>
      <c r="E628" t="s">
        <v>233</v>
      </c>
      <c r="F628">
        <v>4</v>
      </c>
      <c r="G628">
        <v>67.460999999999999</v>
      </c>
      <c r="H628">
        <v>269.84571999999997</v>
      </c>
    </row>
    <row r="629" spans="1:8" hidden="1" x14ac:dyDescent="0.3">
      <c r="A629" t="s">
        <v>15</v>
      </c>
      <c r="B629" t="s">
        <v>1140</v>
      </c>
      <c r="C629" t="s">
        <v>889</v>
      </c>
      <c r="D629" t="s">
        <v>890</v>
      </c>
      <c r="E629" t="s">
        <v>233</v>
      </c>
      <c r="F629">
        <v>6</v>
      </c>
      <c r="G629">
        <v>80.488</v>
      </c>
      <c r="H629">
        <v>482.9271</v>
      </c>
    </row>
    <row r="630" spans="1:8" hidden="1" x14ac:dyDescent="0.3">
      <c r="A630" t="s">
        <v>15</v>
      </c>
      <c r="B630" t="s">
        <v>1140</v>
      </c>
      <c r="C630" t="s">
        <v>1235</v>
      </c>
      <c r="D630" t="s">
        <v>1236</v>
      </c>
      <c r="E630" t="s">
        <v>233</v>
      </c>
      <c r="F630">
        <v>3</v>
      </c>
      <c r="G630">
        <v>68.198999999999998</v>
      </c>
      <c r="H630">
        <v>204.59700000000001</v>
      </c>
    </row>
    <row r="631" spans="1:8" hidden="1" x14ac:dyDescent="0.3">
      <c r="A631" t="s">
        <v>15</v>
      </c>
      <c r="B631" t="s">
        <v>1140</v>
      </c>
      <c r="C631" t="s">
        <v>1237</v>
      </c>
      <c r="D631" t="s">
        <v>1238</v>
      </c>
      <c r="E631" t="s">
        <v>233</v>
      </c>
      <c r="F631">
        <v>2</v>
      </c>
      <c r="G631">
        <v>82.2</v>
      </c>
      <c r="H631">
        <v>164.4</v>
      </c>
    </row>
    <row r="632" spans="1:8" hidden="1" x14ac:dyDescent="0.3">
      <c r="A632" t="s">
        <v>15</v>
      </c>
      <c r="B632" t="s">
        <v>1140</v>
      </c>
      <c r="C632" t="s">
        <v>1239</v>
      </c>
      <c r="D632" t="s">
        <v>1240</v>
      </c>
      <c r="E632" t="s">
        <v>233</v>
      </c>
      <c r="F632">
        <v>8.5</v>
      </c>
      <c r="G632">
        <v>77.847499999999997</v>
      </c>
      <c r="H632">
        <v>652.46438999999998</v>
      </c>
    </row>
    <row r="633" spans="1:8" hidden="1" x14ac:dyDescent="0.3">
      <c r="A633" t="s">
        <v>15</v>
      </c>
      <c r="B633" t="s">
        <v>1140</v>
      </c>
      <c r="C633" t="s">
        <v>1241</v>
      </c>
      <c r="D633" t="s">
        <v>1242</v>
      </c>
      <c r="E633" t="s">
        <v>233</v>
      </c>
      <c r="F633">
        <v>14.5</v>
      </c>
      <c r="G633">
        <v>77.296999999999997</v>
      </c>
      <c r="H633">
        <v>1120.8001200000001</v>
      </c>
    </row>
    <row r="634" spans="1:8" hidden="1" x14ac:dyDescent="0.3">
      <c r="A634" t="s">
        <v>15</v>
      </c>
      <c r="B634" t="s">
        <v>1140</v>
      </c>
      <c r="C634" t="s">
        <v>891</v>
      </c>
      <c r="D634" t="s">
        <v>892</v>
      </c>
      <c r="E634" t="s">
        <v>233</v>
      </c>
      <c r="F634">
        <v>10</v>
      </c>
      <c r="G634">
        <v>81.802999999999997</v>
      </c>
      <c r="H634">
        <v>818.02539999999999</v>
      </c>
    </row>
    <row r="635" spans="1:8" hidden="1" x14ac:dyDescent="0.3">
      <c r="A635" t="s">
        <v>15</v>
      </c>
      <c r="B635" t="s">
        <v>1140</v>
      </c>
      <c r="C635" t="s">
        <v>893</v>
      </c>
      <c r="D635" t="s">
        <v>894</v>
      </c>
      <c r="E635" t="s">
        <v>233</v>
      </c>
      <c r="F635">
        <v>9</v>
      </c>
      <c r="G635">
        <v>74.846999999999994</v>
      </c>
      <c r="H635">
        <v>673.61895000000004</v>
      </c>
    </row>
    <row r="636" spans="1:8" hidden="1" x14ac:dyDescent="0.3">
      <c r="A636" t="s">
        <v>15</v>
      </c>
      <c r="B636" t="s">
        <v>1140</v>
      </c>
      <c r="C636" t="s">
        <v>895</v>
      </c>
      <c r="D636" t="s">
        <v>896</v>
      </c>
      <c r="E636" t="s">
        <v>233</v>
      </c>
      <c r="F636">
        <v>18.5</v>
      </c>
      <c r="G636">
        <v>65.184666666666601</v>
      </c>
      <c r="H636">
        <v>1203.1803600000001</v>
      </c>
    </row>
    <row r="637" spans="1:8" hidden="1" x14ac:dyDescent="0.3">
      <c r="A637" t="s">
        <v>15</v>
      </c>
      <c r="B637" t="s">
        <v>1140</v>
      </c>
      <c r="C637" t="s">
        <v>897</v>
      </c>
      <c r="D637" t="s">
        <v>898</v>
      </c>
      <c r="E637" t="s">
        <v>233</v>
      </c>
      <c r="F637">
        <v>26</v>
      </c>
      <c r="G637">
        <v>83.675200000000004</v>
      </c>
      <c r="H637">
        <v>2177.02045</v>
      </c>
    </row>
    <row r="638" spans="1:8" hidden="1" x14ac:dyDescent="0.3">
      <c r="A638" t="s">
        <v>15</v>
      </c>
      <c r="B638" t="s">
        <v>1140</v>
      </c>
      <c r="C638" t="s">
        <v>1243</v>
      </c>
      <c r="D638" t="s">
        <v>1244</v>
      </c>
      <c r="E638" t="s">
        <v>233</v>
      </c>
      <c r="F638">
        <v>3.45</v>
      </c>
      <c r="G638">
        <v>97.614999999999995</v>
      </c>
      <c r="H638">
        <v>336.77064999999999</v>
      </c>
    </row>
    <row r="639" spans="1:8" hidden="1" x14ac:dyDescent="0.3">
      <c r="A639" t="s">
        <v>15</v>
      </c>
      <c r="B639" t="s">
        <v>1140</v>
      </c>
      <c r="C639" t="s">
        <v>1245</v>
      </c>
      <c r="D639" t="s">
        <v>1246</v>
      </c>
      <c r="E639" t="s">
        <v>233</v>
      </c>
      <c r="F639">
        <v>2</v>
      </c>
      <c r="G639">
        <v>83.272999999999996</v>
      </c>
      <c r="H639">
        <v>166.54532</v>
      </c>
    </row>
    <row r="640" spans="1:8" hidden="1" x14ac:dyDescent="0.3">
      <c r="A640" t="s">
        <v>15</v>
      </c>
      <c r="B640" t="s">
        <v>1140</v>
      </c>
      <c r="C640" t="s">
        <v>903</v>
      </c>
      <c r="D640" t="s">
        <v>904</v>
      </c>
      <c r="E640" t="s">
        <v>233</v>
      </c>
      <c r="F640">
        <v>5.5</v>
      </c>
      <c r="G640">
        <v>83.563999999999993</v>
      </c>
      <c r="H640">
        <v>459.60117000000002</v>
      </c>
    </row>
    <row r="641" spans="1:8" hidden="1" x14ac:dyDescent="0.3">
      <c r="A641" t="s">
        <v>15</v>
      </c>
      <c r="B641" t="s">
        <v>1140</v>
      </c>
      <c r="C641" t="s">
        <v>905</v>
      </c>
      <c r="D641" t="s">
        <v>906</v>
      </c>
      <c r="E641" t="s">
        <v>233</v>
      </c>
      <c r="F641">
        <v>12.5</v>
      </c>
      <c r="G641">
        <v>84.640199999999993</v>
      </c>
      <c r="H641">
        <v>1071.4531300000001</v>
      </c>
    </row>
    <row r="642" spans="1:8" hidden="1" x14ac:dyDescent="0.3">
      <c r="A642" t="s">
        <v>15</v>
      </c>
      <c r="B642" t="s">
        <v>1140</v>
      </c>
      <c r="C642" t="s">
        <v>907</v>
      </c>
      <c r="D642" t="s">
        <v>908</v>
      </c>
      <c r="E642" t="s">
        <v>233</v>
      </c>
      <c r="F642">
        <v>18</v>
      </c>
      <c r="G642">
        <v>80.486800000000002</v>
      </c>
      <c r="H642">
        <v>1470.5271</v>
      </c>
    </row>
    <row r="643" spans="1:8" hidden="1" x14ac:dyDescent="0.3">
      <c r="A643" t="s">
        <v>15</v>
      </c>
      <c r="B643" t="s">
        <v>1140</v>
      </c>
      <c r="C643" t="s">
        <v>1247</v>
      </c>
      <c r="D643" t="s">
        <v>1248</v>
      </c>
      <c r="E643" t="s">
        <v>233</v>
      </c>
      <c r="F643">
        <v>2.7</v>
      </c>
      <c r="G643">
        <v>97.614999999999995</v>
      </c>
      <c r="H643">
        <v>263.55964</v>
      </c>
    </row>
    <row r="644" spans="1:8" hidden="1" x14ac:dyDescent="0.3">
      <c r="A644" t="s">
        <v>15</v>
      </c>
      <c r="B644" t="s">
        <v>1140</v>
      </c>
      <c r="C644" t="s">
        <v>909</v>
      </c>
      <c r="D644" t="s">
        <v>910</v>
      </c>
      <c r="E644" t="s">
        <v>233</v>
      </c>
      <c r="F644">
        <v>12.5</v>
      </c>
      <c r="G644">
        <v>73.272000000000006</v>
      </c>
      <c r="H644">
        <v>915.90575000000001</v>
      </c>
    </row>
    <row r="645" spans="1:8" hidden="1" x14ac:dyDescent="0.3">
      <c r="A645" t="s">
        <v>15</v>
      </c>
      <c r="B645" t="s">
        <v>1140</v>
      </c>
      <c r="C645" t="s">
        <v>911</v>
      </c>
      <c r="D645" t="s">
        <v>912</v>
      </c>
      <c r="E645" t="s">
        <v>233</v>
      </c>
      <c r="F645">
        <v>5.5</v>
      </c>
      <c r="G645">
        <v>77.741</v>
      </c>
      <c r="H645">
        <v>427.57814000000002</v>
      </c>
    </row>
    <row r="646" spans="1:8" hidden="1" x14ac:dyDescent="0.3">
      <c r="A646" t="s">
        <v>15</v>
      </c>
      <c r="B646" t="s">
        <v>1140</v>
      </c>
      <c r="C646" t="s">
        <v>1249</v>
      </c>
      <c r="D646" t="s">
        <v>1250</v>
      </c>
      <c r="E646" t="s">
        <v>233</v>
      </c>
      <c r="F646">
        <v>4</v>
      </c>
      <c r="G646">
        <v>108.17700000000001</v>
      </c>
      <c r="H646">
        <v>432.70663999999999</v>
      </c>
    </row>
    <row r="647" spans="1:8" hidden="1" x14ac:dyDescent="0.3">
      <c r="A647" t="s">
        <v>15</v>
      </c>
      <c r="B647" t="s">
        <v>1140</v>
      </c>
      <c r="C647" t="s">
        <v>1251</v>
      </c>
      <c r="D647" t="s">
        <v>1252</v>
      </c>
      <c r="E647" t="s">
        <v>233</v>
      </c>
      <c r="F647">
        <v>4</v>
      </c>
      <c r="G647">
        <v>97.613</v>
      </c>
      <c r="H647">
        <v>390.45112</v>
      </c>
    </row>
    <row r="648" spans="1:8" hidden="1" x14ac:dyDescent="0.3">
      <c r="A648" t="s">
        <v>15</v>
      </c>
      <c r="B648" t="s">
        <v>1140</v>
      </c>
      <c r="C648" t="s">
        <v>1253</v>
      </c>
      <c r="D648" t="s">
        <v>1254</v>
      </c>
      <c r="E648" t="s">
        <v>19</v>
      </c>
      <c r="F648">
        <v>5</v>
      </c>
      <c r="G648">
        <v>2.6749999999999998</v>
      </c>
      <c r="H648">
        <v>13.37255</v>
      </c>
    </row>
    <row r="649" spans="1:8" hidden="1" x14ac:dyDescent="0.3">
      <c r="A649" t="s">
        <v>15</v>
      </c>
      <c r="B649" t="s">
        <v>1140</v>
      </c>
      <c r="C649" t="s">
        <v>1255</v>
      </c>
      <c r="D649" t="s">
        <v>1256</v>
      </c>
      <c r="E649" t="s">
        <v>19</v>
      </c>
      <c r="F649">
        <v>5</v>
      </c>
      <c r="G649">
        <v>3.6720000000000002</v>
      </c>
      <c r="H649">
        <v>18.36</v>
      </c>
    </row>
    <row r="650" spans="1:8" hidden="1" x14ac:dyDescent="0.3">
      <c r="A650" t="s">
        <v>15</v>
      </c>
      <c r="B650" t="s">
        <v>1140</v>
      </c>
      <c r="C650" t="s">
        <v>1257</v>
      </c>
      <c r="D650" t="s">
        <v>1258</v>
      </c>
      <c r="E650" t="s">
        <v>210</v>
      </c>
      <c r="F650">
        <v>10</v>
      </c>
      <c r="G650">
        <v>14.196999999999999</v>
      </c>
      <c r="H650">
        <v>141.96549999999999</v>
      </c>
    </row>
    <row r="651" spans="1:8" hidden="1" x14ac:dyDescent="0.3">
      <c r="A651" t="s">
        <v>15</v>
      </c>
      <c r="B651" t="s">
        <v>1140</v>
      </c>
      <c r="C651" t="s">
        <v>1259</v>
      </c>
      <c r="D651" t="s">
        <v>1260</v>
      </c>
      <c r="E651" t="s">
        <v>210</v>
      </c>
      <c r="F651">
        <v>70</v>
      </c>
      <c r="G651">
        <v>19.353999999999999</v>
      </c>
      <c r="H651">
        <v>1354.7737</v>
      </c>
    </row>
    <row r="652" spans="1:8" hidden="1" x14ac:dyDescent="0.3">
      <c r="A652" t="s">
        <v>15</v>
      </c>
      <c r="B652" t="s">
        <v>1140</v>
      </c>
      <c r="C652" t="s">
        <v>393</v>
      </c>
      <c r="D652" t="s">
        <v>394</v>
      </c>
      <c r="E652" t="s">
        <v>210</v>
      </c>
      <c r="F652">
        <v>35</v>
      </c>
      <c r="G652">
        <v>19.672999999999998</v>
      </c>
      <c r="H652">
        <v>688.54485</v>
      </c>
    </row>
    <row r="653" spans="1:8" hidden="1" x14ac:dyDescent="0.3">
      <c r="A653" t="s">
        <v>15</v>
      </c>
      <c r="B653" t="s">
        <v>1140</v>
      </c>
      <c r="C653" t="s">
        <v>1261</v>
      </c>
      <c r="D653" t="s">
        <v>1262</v>
      </c>
      <c r="E653" t="s">
        <v>210</v>
      </c>
      <c r="F653">
        <v>60</v>
      </c>
      <c r="G653">
        <v>21.050999999999998</v>
      </c>
      <c r="H653">
        <v>1263.0842700000001</v>
      </c>
    </row>
    <row r="654" spans="1:8" hidden="1" x14ac:dyDescent="0.3">
      <c r="A654" t="s">
        <v>15</v>
      </c>
      <c r="B654" t="s">
        <v>1140</v>
      </c>
      <c r="C654" t="s">
        <v>1263</v>
      </c>
      <c r="D654" t="s">
        <v>1264</v>
      </c>
      <c r="E654" t="s">
        <v>210</v>
      </c>
      <c r="F654">
        <v>10</v>
      </c>
      <c r="G654">
        <v>48.319000000000003</v>
      </c>
      <c r="H654">
        <v>483.19029999999998</v>
      </c>
    </row>
    <row r="655" spans="1:8" hidden="1" x14ac:dyDescent="0.3">
      <c r="A655" t="s">
        <v>15</v>
      </c>
      <c r="B655" t="s">
        <v>1140</v>
      </c>
      <c r="C655" t="s">
        <v>1265</v>
      </c>
      <c r="D655" t="s">
        <v>1266</v>
      </c>
      <c r="E655" t="s">
        <v>210</v>
      </c>
      <c r="F655">
        <v>6</v>
      </c>
      <c r="G655">
        <v>56.363999999999997</v>
      </c>
      <c r="H655">
        <v>338.18178</v>
      </c>
    </row>
    <row r="656" spans="1:8" hidden="1" x14ac:dyDescent="0.3">
      <c r="A656" t="s">
        <v>15</v>
      </c>
      <c r="B656" t="s">
        <v>1140</v>
      </c>
      <c r="C656" t="s">
        <v>1267</v>
      </c>
      <c r="D656" t="s">
        <v>1268</v>
      </c>
      <c r="E656" t="s">
        <v>210</v>
      </c>
      <c r="F656">
        <v>6</v>
      </c>
      <c r="G656">
        <v>60.326000000000001</v>
      </c>
      <c r="H656">
        <v>361.95330000000001</v>
      </c>
    </row>
    <row r="657" spans="1:8" hidden="1" x14ac:dyDescent="0.3">
      <c r="A657" t="s">
        <v>15</v>
      </c>
      <c r="B657" t="s">
        <v>1140</v>
      </c>
      <c r="C657" t="s">
        <v>1269</v>
      </c>
      <c r="D657" t="s">
        <v>1270</v>
      </c>
      <c r="E657" t="s">
        <v>210</v>
      </c>
      <c r="F657">
        <v>40</v>
      </c>
      <c r="G657">
        <v>14.2</v>
      </c>
      <c r="H657">
        <v>568</v>
      </c>
    </row>
    <row r="658" spans="1:8" hidden="1" x14ac:dyDescent="0.3">
      <c r="A658" t="s">
        <v>15</v>
      </c>
      <c r="B658" t="s">
        <v>1140</v>
      </c>
      <c r="C658" t="s">
        <v>1271</v>
      </c>
      <c r="D658" t="s">
        <v>1272</v>
      </c>
      <c r="E658" t="s">
        <v>210</v>
      </c>
      <c r="F658">
        <v>40</v>
      </c>
      <c r="G658">
        <v>14.007</v>
      </c>
      <c r="H658">
        <v>560.26</v>
      </c>
    </row>
    <row r="659" spans="1:8" hidden="1" x14ac:dyDescent="0.3">
      <c r="A659" t="s">
        <v>15</v>
      </c>
      <c r="B659" t="s">
        <v>1140</v>
      </c>
      <c r="C659" t="s">
        <v>1273</v>
      </c>
      <c r="D659" t="s">
        <v>1274</v>
      </c>
      <c r="E659" t="s">
        <v>210</v>
      </c>
      <c r="F659">
        <v>110</v>
      </c>
      <c r="G659">
        <v>22.954999999999998</v>
      </c>
      <c r="H659">
        <v>2413.4122000000002</v>
      </c>
    </row>
    <row r="660" spans="1:8" hidden="1" x14ac:dyDescent="0.3">
      <c r="A660" t="s">
        <v>15</v>
      </c>
      <c r="B660" t="s">
        <v>1140</v>
      </c>
      <c r="C660" t="s">
        <v>1275</v>
      </c>
      <c r="D660" t="s">
        <v>1276</v>
      </c>
      <c r="E660" t="s">
        <v>210</v>
      </c>
      <c r="F660">
        <v>25</v>
      </c>
      <c r="G660">
        <v>15</v>
      </c>
      <c r="H660">
        <v>375</v>
      </c>
    </row>
    <row r="661" spans="1:8" hidden="1" x14ac:dyDescent="0.3">
      <c r="A661" t="s">
        <v>15</v>
      </c>
      <c r="B661" t="s">
        <v>1140</v>
      </c>
      <c r="C661" t="s">
        <v>1277</v>
      </c>
      <c r="D661" t="s">
        <v>1278</v>
      </c>
      <c r="E661" t="s">
        <v>210</v>
      </c>
      <c r="F661">
        <v>14</v>
      </c>
      <c r="G661">
        <v>660.53599999999994</v>
      </c>
      <c r="H661">
        <v>9247.5005000000001</v>
      </c>
    </row>
    <row r="662" spans="1:8" hidden="1" x14ac:dyDescent="0.3">
      <c r="A662" t="s">
        <v>15</v>
      </c>
      <c r="B662" t="s">
        <v>1140</v>
      </c>
      <c r="C662" t="s">
        <v>1279</v>
      </c>
      <c r="D662" t="s">
        <v>1280</v>
      </c>
      <c r="E662" t="s">
        <v>210</v>
      </c>
      <c r="F662">
        <v>10</v>
      </c>
      <c r="G662">
        <v>53.6</v>
      </c>
      <c r="H662">
        <v>536</v>
      </c>
    </row>
    <row r="663" spans="1:8" hidden="1" x14ac:dyDescent="0.3">
      <c r="A663" t="s">
        <v>15</v>
      </c>
      <c r="B663" t="s">
        <v>1140</v>
      </c>
      <c r="C663" t="s">
        <v>1281</v>
      </c>
      <c r="D663" t="s">
        <v>1282</v>
      </c>
      <c r="E663" t="s">
        <v>19</v>
      </c>
      <c r="F663">
        <v>2</v>
      </c>
      <c r="G663">
        <v>24.5</v>
      </c>
      <c r="H663">
        <v>49</v>
      </c>
    </row>
    <row r="664" spans="1:8" hidden="1" x14ac:dyDescent="0.3">
      <c r="A664" t="s">
        <v>15</v>
      </c>
      <c r="B664" t="s">
        <v>1140</v>
      </c>
      <c r="C664" t="s">
        <v>1283</v>
      </c>
      <c r="D664" t="s">
        <v>1284</v>
      </c>
      <c r="E664" t="s">
        <v>19</v>
      </c>
      <c r="F664">
        <v>3</v>
      </c>
      <c r="G664">
        <v>18.393000000000001</v>
      </c>
      <c r="H664">
        <v>55.177680000000002</v>
      </c>
    </row>
    <row r="665" spans="1:8" hidden="1" x14ac:dyDescent="0.3">
      <c r="A665" t="s">
        <v>15</v>
      </c>
      <c r="B665" t="s">
        <v>1140</v>
      </c>
      <c r="C665" t="s">
        <v>1285</v>
      </c>
      <c r="D665" t="s">
        <v>1286</v>
      </c>
      <c r="E665" t="s">
        <v>19</v>
      </c>
      <c r="F665">
        <v>1</v>
      </c>
      <c r="G665">
        <v>2372.0169999999998</v>
      </c>
      <c r="H665">
        <v>2372.0168399999998</v>
      </c>
    </row>
    <row r="666" spans="1:8" hidden="1" x14ac:dyDescent="0.3">
      <c r="A666" t="s">
        <v>15</v>
      </c>
      <c r="B666" t="s">
        <v>1140</v>
      </c>
      <c r="C666" t="s">
        <v>1287</v>
      </c>
      <c r="D666" t="s">
        <v>1288</v>
      </c>
      <c r="E666" t="s">
        <v>19</v>
      </c>
      <c r="F666">
        <v>3</v>
      </c>
      <c r="G666">
        <v>1022.26</v>
      </c>
      <c r="H666">
        <v>3066.78</v>
      </c>
    </row>
    <row r="667" spans="1:8" hidden="1" x14ac:dyDescent="0.3">
      <c r="A667" t="s">
        <v>15</v>
      </c>
      <c r="B667" t="s">
        <v>1140</v>
      </c>
      <c r="C667" t="s">
        <v>915</v>
      </c>
      <c r="D667" t="s">
        <v>916</v>
      </c>
      <c r="E667" t="s">
        <v>19</v>
      </c>
      <c r="F667">
        <v>1</v>
      </c>
      <c r="G667">
        <v>669</v>
      </c>
      <c r="H667">
        <v>669</v>
      </c>
    </row>
    <row r="668" spans="1:8" hidden="1" x14ac:dyDescent="0.3">
      <c r="A668" t="s">
        <v>15</v>
      </c>
      <c r="B668" t="s">
        <v>1140</v>
      </c>
      <c r="C668" t="s">
        <v>1289</v>
      </c>
      <c r="D668" t="s">
        <v>1290</v>
      </c>
      <c r="E668" t="s">
        <v>19</v>
      </c>
      <c r="F668">
        <v>2</v>
      </c>
      <c r="G668">
        <v>515</v>
      </c>
      <c r="H668">
        <v>1030</v>
      </c>
    </row>
    <row r="669" spans="1:8" hidden="1" x14ac:dyDescent="0.3">
      <c r="A669" t="s">
        <v>15</v>
      </c>
      <c r="B669" t="s">
        <v>1140</v>
      </c>
      <c r="C669" t="s">
        <v>1291</v>
      </c>
      <c r="D669" t="s">
        <v>1292</v>
      </c>
      <c r="E669" t="s">
        <v>19</v>
      </c>
      <c r="F669">
        <v>2</v>
      </c>
      <c r="G669">
        <v>1045.9380000000001</v>
      </c>
      <c r="H669">
        <v>2091.875</v>
      </c>
    </row>
    <row r="670" spans="1:8" hidden="1" x14ac:dyDescent="0.3">
      <c r="A670" t="s">
        <v>15</v>
      </c>
      <c r="B670" t="s">
        <v>1140</v>
      </c>
      <c r="C670" t="s">
        <v>917</v>
      </c>
      <c r="D670" t="s">
        <v>918</v>
      </c>
      <c r="E670" t="s">
        <v>19</v>
      </c>
      <c r="F670">
        <v>2</v>
      </c>
      <c r="G670">
        <v>280</v>
      </c>
      <c r="H670">
        <v>559.99999000000003</v>
      </c>
    </row>
    <row r="671" spans="1:8" hidden="1" x14ac:dyDescent="0.3">
      <c r="A671" t="s">
        <v>15</v>
      </c>
      <c r="B671" t="s">
        <v>1140</v>
      </c>
      <c r="C671" t="s">
        <v>1293</v>
      </c>
      <c r="D671" t="s">
        <v>1294</v>
      </c>
      <c r="E671" t="s">
        <v>19</v>
      </c>
      <c r="F671">
        <v>2</v>
      </c>
      <c r="G671">
        <v>273.99099999999999</v>
      </c>
      <c r="H671">
        <v>547.98289999999997</v>
      </c>
    </row>
    <row r="672" spans="1:8" hidden="1" x14ac:dyDescent="0.3">
      <c r="A672" t="s">
        <v>15</v>
      </c>
      <c r="B672" t="s">
        <v>1140</v>
      </c>
      <c r="C672" t="s">
        <v>1295</v>
      </c>
      <c r="D672" t="s">
        <v>1296</v>
      </c>
      <c r="E672" t="s">
        <v>19</v>
      </c>
      <c r="F672">
        <v>2</v>
      </c>
      <c r="G672">
        <v>26745.119999999999</v>
      </c>
      <c r="H672">
        <v>53490.239999999998</v>
      </c>
    </row>
    <row r="673" spans="1:8" hidden="1" x14ac:dyDescent="0.3">
      <c r="A673" t="s">
        <v>15</v>
      </c>
      <c r="B673" t="s">
        <v>1140</v>
      </c>
      <c r="C673" t="s">
        <v>1297</v>
      </c>
      <c r="D673" t="s">
        <v>1298</v>
      </c>
      <c r="E673" t="s">
        <v>19</v>
      </c>
      <c r="F673">
        <v>8</v>
      </c>
      <c r="G673">
        <v>93.4</v>
      </c>
      <c r="H673">
        <v>747.19714999999997</v>
      </c>
    </row>
    <row r="674" spans="1:8" hidden="1" x14ac:dyDescent="0.3">
      <c r="A674" t="s">
        <v>15</v>
      </c>
      <c r="B674" t="s">
        <v>1140</v>
      </c>
      <c r="C674" t="s">
        <v>921</v>
      </c>
      <c r="D674" t="s">
        <v>922</v>
      </c>
      <c r="E674" t="s">
        <v>293</v>
      </c>
      <c r="F674">
        <v>20</v>
      </c>
      <c r="G674">
        <v>176.27600000000001</v>
      </c>
      <c r="H674">
        <v>3525.51415</v>
      </c>
    </row>
    <row r="675" spans="1:8" hidden="1" x14ac:dyDescent="0.3">
      <c r="A675" t="s">
        <v>15</v>
      </c>
      <c r="B675" t="s">
        <v>1140</v>
      </c>
      <c r="C675" t="s">
        <v>923</v>
      </c>
      <c r="D675" t="s">
        <v>924</v>
      </c>
      <c r="E675" t="s">
        <v>19</v>
      </c>
      <c r="F675">
        <v>6</v>
      </c>
      <c r="G675">
        <v>135.65700000000001</v>
      </c>
      <c r="H675">
        <v>813.94176000000004</v>
      </c>
    </row>
    <row r="676" spans="1:8" hidden="1" x14ac:dyDescent="0.3">
      <c r="A676" t="s">
        <v>15</v>
      </c>
      <c r="B676" t="s">
        <v>1140</v>
      </c>
      <c r="C676" t="s">
        <v>395</v>
      </c>
      <c r="D676" t="s">
        <v>396</v>
      </c>
      <c r="E676" t="s">
        <v>19</v>
      </c>
      <c r="F676">
        <v>11</v>
      </c>
      <c r="G676">
        <v>39.590000000000003</v>
      </c>
      <c r="H676">
        <v>433.11365000000001</v>
      </c>
    </row>
    <row r="677" spans="1:8" hidden="1" x14ac:dyDescent="0.3">
      <c r="A677" t="s">
        <v>15</v>
      </c>
      <c r="B677" t="s">
        <v>1140</v>
      </c>
      <c r="C677" t="s">
        <v>1299</v>
      </c>
      <c r="D677" t="s">
        <v>1300</v>
      </c>
      <c r="E677" t="s">
        <v>19</v>
      </c>
      <c r="F677">
        <v>4</v>
      </c>
      <c r="G677">
        <v>115.616</v>
      </c>
      <c r="H677">
        <v>462.46596</v>
      </c>
    </row>
    <row r="678" spans="1:8" hidden="1" x14ac:dyDescent="0.3">
      <c r="A678" t="s">
        <v>15</v>
      </c>
      <c r="B678" t="s">
        <v>1140</v>
      </c>
      <c r="C678" t="s">
        <v>1301</v>
      </c>
      <c r="D678" t="s">
        <v>1302</v>
      </c>
      <c r="E678" t="s">
        <v>293</v>
      </c>
      <c r="F678">
        <v>20</v>
      </c>
      <c r="G678">
        <v>92.38</v>
      </c>
      <c r="H678">
        <v>1847.5952</v>
      </c>
    </row>
    <row r="679" spans="1:8" hidden="1" x14ac:dyDescent="0.3">
      <c r="A679" t="s">
        <v>15</v>
      </c>
      <c r="B679" t="s">
        <v>1140</v>
      </c>
      <c r="C679" t="s">
        <v>927</v>
      </c>
      <c r="D679" t="s">
        <v>928</v>
      </c>
      <c r="E679" t="s">
        <v>293</v>
      </c>
      <c r="F679">
        <v>20</v>
      </c>
      <c r="G679">
        <v>175.38399999999999</v>
      </c>
      <c r="H679">
        <v>3507.6756</v>
      </c>
    </row>
    <row r="680" spans="1:8" hidden="1" x14ac:dyDescent="0.3">
      <c r="A680" t="s">
        <v>15</v>
      </c>
      <c r="B680" t="s">
        <v>1140</v>
      </c>
      <c r="C680" t="s">
        <v>1303</v>
      </c>
      <c r="D680" t="s">
        <v>1304</v>
      </c>
      <c r="E680" t="s">
        <v>293</v>
      </c>
      <c r="F680">
        <v>40</v>
      </c>
      <c r="G680">
        <v>171.95</v>
      </c>
      <c r="H680">
        <v>6878</v>
      </c>
    </row>
    <row r="681" spans="1:8" hidden="1" x14ac:dyDescent="0.3">
      <c r="A681" t="s">
        <v>15</v>
      </c>
      <c r="B681" t="s">
        <v>1140</v>
      </c>
      <c r="C681" t="s">
        <v>26</v>
      </c>
      <c r="D681" t="s">
        <v>27</v>
      </c>
      <c r="E681" t="s">
        <v>19</v>
      </c>
      <c r="F681">
        <v>1</v>
      </c>
      <c r="G681">
        <v>99.519000000000005</v>
      </c>
      <c r="H681">
        <v>99.518709999999999</v>
      </c>
    </row>
    <row r="682" spans="1:8" hidden="1" x14ac:dyDescent="0.3">
      <c r="A682" t="s">
        <v>15</v>
      </c>
      <c r="B682" t="s">
        <v>1140</v>
      </c>
      <c r="C682" t="s">
        <v>1305</v>
      </c>
      <c r="D682" t="s">
        <v>1306</v>
      </c>
      <c r="E682" t="s">
        <v>19</v>
      </c>
      <c r="F682">
        <v>50</v>
      </c>
      <c r="G682">
        <v>60.765000000000001</v>
      </c>
      <c r="H682">
        <v>3038.2354999999998</v>
      </c>
    </row>
    <row r="683" spans="1:8" hidden="1" x14ac:dyDescent="0.3">
      <c r="A683" t="s">
        <v>15</v>
      </c>
      <c r="B683" t="s">
        <v>1140</v>
      </c>
      <c r="C683" t="s">
        <v>931</v>
      </c>
      <c r="D683" t="s">
        <v>932</v>
      </c>
      <c r="E683" t="s">
        <v>19</v>
      </c>
      <c r="F683">
        <v>50</v>
      </c>
      <c r="G683">
        <v>46.8</v>
      </c>
      <c r="H683">
        <v>2340</v>
      </c>
    </row>
    <row r="684" spans="1:8" hidden="1" x14ac:dyDescent="0.3">
      <c r="A684" t="s">
        <v>15</v>
      </c>
      <c r="B684" t="s">
        <v>1140</v>
      </c>
      <c r="C684" t="s">
        <v>1307</v>
      </c>
      <c r="D684" t="s">
        <v>1308</v>
      </c>
      <c r="E684" t="s">
        <v>193</v>
      </c>
      <c r="F684">
        <v>18</v>
      </c>
      <c r="G684">
        <v>46.28</v>
      </c>
      <c r="H684">
        <v>833.04265999999996</v>
      </c>
    </row>
    <row r="685" spans="1:8" hidden="1" x14ac:dyDescent="0.3">
      <c r="A685" t="s">
        <v>15</v>
      </c>
      <c r="B685" t="s">
        <v>1140</v>
      </c>
      <c r="C685" t="s">
        <v>1309</v>
      </c>
      <c r="D685" t="s">
        <v>1310</v>
      </c>
      <c r="E685" t="s">
        <v>19</v>
      </c>
      <c r="F685">
        <v>2</v>
      </c>
      <c r="G685">
        <v>16</v>
      </c>
      <c r="H685">
        <v>32</v>
      </c>
    </row>
    <row r="686" spans="1:8" hidden="1" x14ac:dyDescent="0.3">
      <c r="A686" t="s">
        <v>15</v>
      </c>
      <c r="B686" t="s">
        <v>1140</v>
      </c>
      <c r="C686" t="s">
        <v>1311</v>
      </c>
      <c r="D686" t="s">
        <v>1312</v>
      </c>
      <c r="E686" t="s">
        <v>19</v>
      </c>
      <c r="F686">
        <v>1</v>
      </c>
      <c r="G686">
        <v>135</v>
      </c>
      <c r="H686">
        <v>135</v>
      </c>
    </row>
    <row r="687" spans="1:8" hidden="1" x14ac:dyDescent="0.3">
      <c r="A687" t="s">
        <v>15</v>
      </c>
      <c r="B687" t="s">
        <v>1140</v>
      </c>
      <c r="C687" t="s">
        <v>1313</v>
      </c>
      <c r="D687" t="s">
        <v>1314</v>
      </c>
      <c r="E687" t="s">
        <v>193</v>
      </c>
      <c r="F687">
        <v>109</v>
      </c>
      <c r="G687">
        <v>277.86700000000002</v>
      </c>
      <c r="H687">
        <v>30287.466390000001</v>
      </c>
    </row>
    <row r="688" spans="1:8" hidden="1" x14ac:dyDescent="0.3">
      <c r="A688" t="s">
        <v>15</v>
      </c>
      <c r="B688" t="s">
        <v>1140</v>
      </c>
      <c r="C688" t="s">
        <v>1315</v>
      </c>
      <c r="D688" t="s">
        <v>1316</v>
      </c>
      <c r="E688" t="s">
        <v>19</v>
      </c>
      <c r="F688">
        <v>10</v>
      </c>
      <c r="G688">
        <v>38.747999999999998</v>
      </c>
      <c r="H688">
        <v>387.4794</v>
      </c>
    </row>
    <row r="689" spans="1:8" hidden="1" x14ac:dyDescent="0.3">
      <c r="A689" t="s">
        <v>15</v>
      </c>
      <c r="B689" t="s">
        <v>1140</v>
      </c>
      <c r="C689" t="s">
        <v>1317</v>
      </c>
      <c r="D689" t="s">
        <v>1318</v>
      </c>
      <c r="E689" t="s">
        <v>193</v>
      </c>
      <c r="F689">
        <v>20</v>
      </c>
      <c r="G689">
        <v>827.59</v>
      </c>
      <c r="H689">
        <v>16551.796200000001</v>
      </c>
    </row>
    <row r="690" spans="1:8" hidden="1" x14ac:dyDescent="0.3">
      <c r="A690" t="s">
        <v>15</v>
      </c>
      <c r="B690" t="s">
        <v>1140</v>
      </c>
      <c r="C690" t="s">
        <v>1319</v>
      </c>
      <c r="D690" t="s">
        <v>1320</v>
      </c>
      <c r="E690" t="s">
        <v>19</v>
      </c>
      <c r="F690">
        <v>2</v>
      </c>
      <c r="G690">
        <v>11.584</v>
      </c>
      <c r="H690">
        <v>23.16798</v>
      </c>
    </row>
    <row r="691" spans="1:8" hidden="1" x14ac:dyDescent="0.3">
      <c r="A691" t="s">
        <v>15</v>
      </c>
      <c r="B691" t="s">
        <v>1140</v>
      </c>
      <c r="C691" t="s">
        <v>1321</v>
      </c>
      <c r="D691" t="s">
        <v>1322</v>
      </c>
      <c r="E691" t="s">
        <v>19</v>
      </c>
      <c r="F691">
        <v>10</v>
      </c>
      <c r="G691">
        <v>226.99799999999999</v>
      </c>
      <c r="H691">
        <v>2269.9845</v>
      </c>
    </row>
    <row r="692" spans="1:8" hidden="1" x14ac:dyDescent="0.3">
      <c r="A692" t="s">
        <v>15</v>
      </c>
      <c r="B692" t="s">
        <v>1140</v>
      </c>
      <c r="C692" t="s">
        <v>948</v>
      </c>
      <c r="D692" t="s">
        <v>949</v>
      </c>
      <c r="E692" t="s">
        <v>19</v>
      </c>
      <c r="F692">
        <v>2</v>
      </c>
      <c r="G692">
        <v>35.215000000000003</v>
      </c>
      <c r="H692">
        <v>70.429559999999995</v>
      </c>
    </row>
    <row r="693" spans="1:8" hidden="1" x14ac:dyDescent="0.3">
      <c r="A693" t="s">
        <v>15</v>
      </c>
      <c r="B693" t="s">
        <v>1140</v>
      </c>
      <c r="C693" t="s">
        <v>1323</v>
      </c>
      <c r="D693" t="s">
        <v>1324</v>
      </c>
      <c r="E693" t="s">
        <v>19</v>
      </c>
      <c r="F693">
        <v>2</v>
      </c>
      <c r="G693">
        <v>51.384999999999998</v>
      </c>
      <c r="H693">
        <v>102.77007999999999</v>
      </c>
    </row>
    <row r="694" spans="1:8" hidden="1" x14ac:dyDescent="0.3">
      <c r="A694" t="s">
        <v>15</v>
      </c>
      <c r="B694" t="s">
        <v>1140</v>
      </c>
      <c r="C694" t="s">
        <v>1325</v>
      </c>
      <c r="D694" t="s">
        <v>1326</v>
      </c>
      <c r="E694" t="s">
        <v>19</v>
      </c>
      <c r="F694">
        <v>1</v>
      </c>
      <c r="G694">
        <v>1325</v>
      </c>
      <c r="H694">
        <v>1325</v>
      </c>
    </row>
    <row r="695" spans="1:8" hidden="1" x14ac:dyDescent="0.3">
      <c r="A695" t="s">
        <v>15</v>
      </c>
      <c r="B695" t="s">
        <v>1140</v>
      </c>
      <c r="C695" t="s">
        <v>1327</v>
      </c>
      <c r="D695" t="s">
        <v>1328</v>
      </c>
      <c r="E695" t="s">
        <v>19</v>
      </c>
      <c r="F695">
        <v>1</v>
      </c>
      <c r="G695">
        <v>3213.4560000000001</v>
      </c>
      <c r="H695">
        <v>3213.45624</v>
      </c>
    </row>
    <row r="696" spans="1:8" hidden="1" x14ac:dyDescent="0.3">
      <c r="A696" t="s">
        <v>15</v>
      </c>
      <c r="B696" t="s">
        <v>1140</v>
      </c>
      <c r="C696" t="s">
        <v>1329</v>
      </c>
      <c r="D696" t="s">
        <v>1330</v>
      </c>
      <c r="E696" t="s">
        <v>19</v>
      </c>
      <c r="F696">
        <v>4</v>
      </c>
      <c r="G696">
        <v>13867.429</v>
      </c>
      <c r="H696">
        <v>55469.717519999998</v>
      </c>
    </row>
    <row r="697" spans="1:8" hidden="1" x14ac:dyDescent="0.3">
      <c r="A697" t="s">
        <v>15</v>
      </c>
      <c r="B697" t="s">
        <v>1140</v>
      </c>
      <c r="C697" t="s">
        <v>1331</v>
      </c>
      <c r="D697" t="s">
        <v>1332</v>
      </c>
      <c r="E697" t="s">
        <v>19</v>
      </c>
      <c r="F697">
        <v>2</v>
      </c>
      <c r="G697">
        <v>15024</v>
      </c>
      <c r="H697">
        <v>30048</v>
      </c>
    </row>
    <row r="698" spans="1:8" hidden="1" x14ac:dyDescent="0.3">
      <c r="A698" t="s">
        <v>15</v>
      </c>
      <c r="B698" t="s">
        <v>1140</v>
      </c>
      <c r="C698" t="s">
        <v>1333</v>
      </c>
      <c r="D698" t="s">
        <v>1334</v>
      </c>
      <c r="E698" t="s">
        <v>19</v>
      </c>
      <c r="F698">
        <v>1</v>
      </c>
      <c r="G698">
        <v>7380</v>
      </c>
      <c r="H698">
        <v>7380</v>
      </c>
    </row>
    <row r="699" spans="1:8" hidden="1" x14ac:dyDescent="0.3">
      <c r="A699" t="s">
        <v>15</v>
      </c>
      <c r="B699" t="s">
        <v>1140</v>
      </c>
      <c r="C699" t="s">
        <v>960</v>
      </c>
      <c r="D699" t="s">
        <v>961</v>
      </c>
      <c r="E699" t="s">
        <v>293</v>
      </c>
      <c r="F699">
        <v>80</v>
      </c>
      <c r="G699">
        <v>115.85875</v>
      </c>
      <c r="H699">
        <v>9268.6893</v>
      </c>
    </row>
    <row r="700" spans="1:8" hidden="1" x14ac:dyDescent="0.3">
      <c r="A700" t="s">
        <v>15</v>
      </c>
      <c r="B700" t="s">
        <v>1140</v>
      </c>
      <c r="C700" t="s">
        <v>962</v>
      </c>
      <c r="D700" t="s">
        <v>963</v>
      </c>
      <c r="E700" t="s">
        <v>293</v>
      </c>
      <c r="F700">
        <v>100</v>
      </c>
      <c r="G700">
        <v>174.15825000000001</v>
      </c>
      <c r="H700">
        <v>17502.896400000001</v>
      </c>
    </row>
    <row r="701" spans="1:8" hidden="1" x14ac:dyDescent="0.3">
      <c r="A701" t="s">
        <v>15</v>
      </c>
      <c r="B701" t="s">
        <v>1140</v>
      </c>
      <c r="C701" t="s">
        <v>964</v>
      </c>
      <c r="D701" t="s">
        <v>965</v>
      </c>
      <c r="E701" t="s">
        <v>293</v>
      </c>
      <c r="F701">
        <v>20</v>
      </c>
      <c r="G701">
        <v>182.81100000000001</v>
      </c>
      <c r="H701">
        <v>3656.21</v>
      </c>
    </row>
    <row r="702" spans="1:8" hidden="1" x14ac:dyDescent="0.3">
      <c r="A702" t="s">
        <v>15</v>
      </c>
      <c r="B702" t="s">
        <v>1140</v>
      </c>
      <c r="C702" t="s">
        <v>1335</v>
      </c>
      <c r="D702" t="s">
        <v>1336</v>
      </c>
      <c r="E702" t="s">
        <v>19</v>
      </c>
      <c r="F702">
        <v>1</v>
      </c>
      <c r="G702">
        <v>6030</v>
      </c>
      <c r="H702">
        <v>6030</v>
      </c>
    </row>
    <row r="703" spans="1:8" hidden="1" x14ac:dyDescent="0.3">
      <c r="A703" t="s">
        <v>15</v>
      </c>
      <c r="B703" t="s">
        <v>1140</v>
      </c>
      <c r="C703" t="s">
        <v>1337</v>
      </c>
      <c r="D703" t="s">
        <v>1338</v>
      </c>
      <c r="E703" t="s">
        <v>293</v>
      </c>
      <c r="F703">
        <v>6</v>
      </c>
      <c r="G703">
        <v>442.77800000000002</v>
      </c>
      <c r="H703">
        <v>2656.6666799999998</v>
      </c>
    </row>
    <row r="704" spans="1:8" hidden="1" x14ac:dyDescent="0.3">
      <c r="A704" t="s">
        <v>15</v>
      </c>
      <c r="B704" t="s">
        <v>1140</v>
      </c>
      <c r="C704" t="s">
        <v>1339</v>
      </c>
      <c r="D704" t="s">
        <v>1340</v>
      </c>
      <c r="E704" t="s">
        <v>1341</v>
      </c>
      <c r="F704">
        <v>9</v>
      </c>
      <c r="G704">
        <v>272</v>
      </c>
      <c r="H704">
        <v>2448</v>
      </c>
    </row>
    <row r="705" spans="1:8" hidden="1" x14ac:dyDescent="0.3">
      <c r="A705" t="s">
        <v>15</v>
      </c>
      <c r="B705" t="s">
        <v>1140</v>
      </c>
      <c r="C705" t="s">
        <v>413</v>
      </c>
      <c r="D705" t="s">
        <v>414</v>
      </c>
      <c r="E705" t="s">
        <v>19</v>
      </c>
      <c r="F705">
        <v>35</v>
      </c>
      <c r="G705">
        <v>9.2949999999999999</v>
      </c>
      <c r="H705">
        <v>325.3159</v>
      </c>
    </row>
    <row r="706" spans="1:8" hidden="1" x14ac:dyDescent="0.3">
      <c r="A706" t="s">
        <v>15</v>
      </c>
      <c r="B706" t="s">
        <v>1140</v>
      </c>
      <c r="C706" t="s">
        <v>974</v>
      </c>
      <c r="D706" t="s">
        <v>975</v>
      </c>
      <c r="E706" t="s">
        <v>233</v>
      </c>
      <c r="F706">
        <v>13.5</v>
      </c>
      <c r="G706">
        <v>75.042000000000002</v>
      </c>
      <c r="H706">
        <v>1013.07092</v>
      </c>
    </row>
    <row r="707" spans="1:8" hidden="1" x14ac:dyDescent="0.3">
      <c r="A707" t="s">
        <v>15</v>
      </c>
      <c r="B707" t="s">
        <v>1140</v>
      </c>
      <c r="C707" t="s">
        <v>1342</v>
      </c>
      <c r="D707" t="s">
        <v>1343</v>
      </c>
      <c r="E707" t="s">
        <v>19</v>
      </c>
      <c r="F707">
        <v>16</v>
      </c>
      <c r="G707">
        <v>38.399000000000001</v>
      </c>
      <c r="H707">
        <v>614.38576</v>
      </c>
    </row>
    <row r="708" spans="1:8" hidden="1" x14ac:dyDescent="0.3">
      <c r="A708" t="s">
        <v>15</v>
      </c>
      <c r="B708" t="s">
        <v>1140</v>
      </c>
      <c r="C708" t="s">
        <v>1344</v>
      </c>
      <c r="D708" t="s">
        <v>1345</v>
      </c>
      <c r="E708" t="s">
        <v>233</v>
      </c>
      <c r="F708">
        <v>10</v>
      </c>
      <c r="G708">
        <v>71.489000000000004</v>
      </c>
      <c r="H708">
        <v>714.88919999999996</v>
      </c>
    </row>
    <row r="709" spans="1:8" hidden="1" x14ac:dyDescent="0.3">
      <c r="A709" t="s">
        <v>15</v>
      </c>
      <c r="B709" t="s">
        <v>1140</v>
      </c>
      <c r="C709" t="s">
        <v>1346</v>
      </c>
      <c r="D709" t="s">
        <v>1347</v>
      </c>
      <c r="E709" t="s">
        <v>233</v>
      </c>
      <c r="F709">
        <v>8</v>
      </c>
      <c r="G709">
        <v>90.849000000000004</v>
      </c>
      <c r="H709">
        <v>726.78848000000005</v>
      </c>
    </row>
    <row r="710" spans="1:8" hidden="1" x14ac:dyDescent="0.3">
      <c r="A710" t="s">
        <v>15</v>
      </c>
      <c r="B710" t="s">
        <v>1140</v>
      </c>
      <c r="C710" t="s">
        <v>978</v>
      </c>
      <c r="D710" t="s">
        <v>979</v>
      </c>
      <c r="E710" t="s">
        <v>233</v>
      </c>
      <c r="F710">
        <v>11.5</v>
      </c>
      <c r="G710">
        <v>93.872249999999994</v>
      </c>
      <c r="H710">
        <v>1080.194</v>
      </c>
    </row>
    <row r="711" spans="1:8" hidden="1" x14ac:dyDescent="0.3">
      <c r="A711" t="s">
        <v>15</v>
      </c>
      <c r="B711" t="s">
        <v>1140</v>
      </c>
      <c r="C711" t="s">
        <v>1348</v>
      </c>
      <c r="D711" t="s">
        <v>1349</v>
      </c>
      <c r="E711" t="s">
        <v>19</v>
      </c>
      <c r="F711">
        <v>26</v>
      </c>
      <c r="G711">
        <v>8.0790000000000006</v>
      </c>
      <c r="H711">
        <v>210.04125999999999</v>
      </c>
    </row>
    <row r="712" spans="1:8" hidden="1" x14ac:dyDescent="0.3">
      <c r="A712" t="s">
        <v>15</v>
      </c>
      <c r="B712" t="s">
        <v>1140</v>
      </c>
      <c r="C712" t="s">
        <v>415</v>
      </c>
      <c r="D712" t="s">
        <v>416</v>
      </c>
      <c r="E712" t="s">
        <v>19</v>
      </c>
      <c r="F712">
        <v>120</v>
      </c>
      <c r="G712">
        <v>11.2551666666666</v>
      </c>
      <c r="H712">
        <v>1350.6659500000001</v>
      </c>
    </row>
    <row r="713" spans="1:8" hidden="1" x14ac:dyDescent="0.3">
      <c r="A713" t="s">
        <v>15</v>
      </c>
      <c r="B713" t="s">
        <v>1140</v>
      </c>
      <c r="C713" t="s">
        <v>980</v>
      </c>
      <c r="D713" t="s">
        <v>981</v>
      </c>
      <c r="E713" t="s">
        <v>19</v>
      </c>
      <c r="F713">
        <v>30</v>
      </c>
      <c r="G713">
        <v>73.759333333333302</v>
      </c>
      <c r="H713">
        <v>2212.7809999999999</v>
      </c>
    </row>
    <row r="714" spans="1:8" hidden="1" x14ac:dyDescent="0.3">
      <c r="A714" t="s">
        <v>15</v>
      </c>
      <c r="B714" t="s">
        <v>1140</v>
      </c>
      <c r="C714" t="s">
        <v>1350</v>
      </c>
      <c r="D714" t="s">
        <v>1351</v>
      </c>
      <c r="E714" t="s">
        <v>19</v>
      </c>
      <c r="F714">
        <v>1</v>
      </c>
      <c r="G714">
        <v>570</v>
      </c>
      <c r="H714">
        <v>570</v>
      </c>
    </row>
    <row r="715" spans="1:8" hidden="1" x14ac:dyDescent="0.3">
      <c r="A715" t="s">
        <v>15</v>
      </c>
      <c r="B715" t="s">
        <v>1140</v>
      </c>
      <c r="C715" t="s">
        <v>417</v>
      </c>
      <c r="D715" t="s">
        <v>418</v>
      </c>
      <c r="E715" t="s">
        <v>19</v>
      </c>
      <c r="F715">
        <v>65</v>
      </c>
      <c r="G715">
        <v>22.532285714285699</v>
      </c>
      <c r="H715">
        <v>1464.1401000000001</v>
      </c>
    </row>
    <row r="716" spans="1:8" hidden="1" x14ac:dyDescent="0.3">
      <c r="A716" t="s">
        <v>15</v>
      </c>
      <c r="B716" t="s">
        <v>1140</v>
      </c>
      <c r="C716" t="s">
        <v>982</v>
      </c>
      <c r="D716" t="s">
        <v>983</v>
      </c>
      <c r="E716" t="s">
        <v>19</v>
      </c>
      <c r="F716">
        <v>10</v>
      </c>
      <c r="G716">
        <v>107.193</v>
      </c>
      <c r="H716">
        <v>1071.92965</v>
      </c>
    </row>
    <row r="717" spans="1:8" hidden="1" x14ac:dyDescent="0.3">
      <c r="A717" t="s">
        <v>15</v>
      </c>
      <c r="B717" t="s">
        <v>1140</v>
      </c>
      <c r="C717" t="s">
        <v>219</v>
      </c>
      <c r="D717" t="s">
        <v>220</v>
      </c>
      <c r="E717" t="s">
        <v>19</v>
      </c>
      <c r="F717">
        <v>20</v>
      </c>
      <c r="G717">
        <v>30.463000000000001</v>
      </c>
      <c r="H717">
        <v>609.25930000000005</v>
      </c>
    </row>
    <row r="718" spans="1:8" hidden="1" x14ac:dyDescent="0.3">
      <c r="A718" t="s">
        <v>15</v>
      </c>
      <c r="B718" t="s">
        <v>1140</v>
      </c>
      <c r="C718" t="s">
        <v>1352</v>
      </c>
      <c r="D718" t="s">
        <v>1353</v>
      </c>
      <c r="E718" t="s">
        <v>19</v>
      </c>
      <c r="F718">
        <v>1</v>
      </c>
      <c r="G718">
        <v>760.5</v>
      </c>
      <c r="H718">
        <v>760.5</v>
      </c>
    </row>
    <row r="719" spans="1:8" hidden="1" x14ac:dyDescent="0.3">
      <c r="A719" t="s">
        <v>15</v>
      </c>
      <c r="B719" t="s">
        <v>1140</v>
      </c>
      <c r="C719" t="s">
        <v>1354</v>
      </c>
      <c r="D719" t="s">
        <v>1355</v>
      </c>
      <c r="E719" t="s">
        <v>210</v>
      </c>
      <c r="F719">
        <v>1</v>
      </c>
      <c r="G719">
        <v>149.6</v>
      </c>
      <c r="H719">
        <v>149.6</v>
      </c>
    </row>
    <row r="720" spans="1:8" hidden="1" x14ac:dyDescent="0.3">
      <c r="A720" t="s">
        <v>15</v>
      </c>
      <c r="B720" t="s">
        <v>1140</v>
      </c>
      <c r="C720" t="s">
        <v>221</v>
      </c>
      <c r="D720" t="s">
        <v>222</v>
      </c>
      <c r="E720" t="s">
        <v>210</v>
      </c>
      <c r="F720">
        <v>2</v>
      </c>
      <c r="G720">
        <v>192.82</v>
      </c>
      <c r="H720">
        <v>385.64066000000003</v>
      </c>
    </row>
    <row r="721" spans="1:8" hidden="1" x14ac:dyDescent="0.3">
      <c r="A721" t="s">
        <v>15</v>
      </c>
      <c r="B721" t="s">
        <v>1140</v>
      </c>
      <c r="C721" t="s">
        <v>1356</v>
      </c>
      <c r="D721" t="s">
        <v>1357</v>
      </c>
      <c r="E721" t="s">
        <v>19</v>
      </c>
      <c r="F721">
        <v>1</v>
      </c>
      <c r="G721">
        <v>56.287999999999997</v>
      </c>
      <c r="H721">
        <v>56.288490000000003</v>
      </c>
    </row>
    <row r="722" spans="1:8" hidden="1" x14ac:dyDescent="0.3">
      <c r="A722" t="s">
        <v>15</v>
      </c>
      <c r="B722" t="s">
        <v>1140</v>
      </c>
      <c r="C722" t="s">
        <v>1358</v>
      </c>
      <c r="D722" t="s">
        <v>1359</v>
      </c>
      <c r="E722" t="s">
        <v>19</v>
      </c>
      <c r="F722">
        <v>2</v>
      </c>
      <c r="G722">
        <v>46.093000000000004</v>
      </c>
      <c r="H722">
        <v>92.185820000000007</v>
      </c>
    </row>
    <row r="723" spans="1:8" hidden="1" x14ac:dyDescent="0.3">
      <c r="A723" t="s">
        <v>15</v>
      </c>
      <c r="B723" t="s">
        <v>1140</v>
      </c>
      <c r="C723" t="s">
        <v>984</v>
      </c>
      <c r="D723" t="s">
        <v>985</v>
      </c>
      <c r="E723" t="s">
        <v>19</v>
      </c>
      <c r="F723">
        <v>3</v>
      </c>
      <c r="G723">
        <v>71.221666666666593</v>
      </c>
      <c r="H723">
        <v>214.56100000000001</v>
      </c>
    </row>
    <row r="724" spans="1:8" hidden="1" x14ac:dyDescent="0.3">
      <c r="A724" t="s">
        <v>15</v>
      </c>
      <c r="B724" t="s">
        <v>1140</v>
      </c>
      <c r="C724" t="s">
        <v>229</v>
      </c>
      <c r="D724" t="s">
        <v>230</v>
      </c>
      <c r="E724" t="s">
        <v>19</v>
      </c>
      <c r="F724">
        <v>21</v>
      </c>
      <c r="G724">
        <v>159.43233333333299</v>
      </c>
      <c r="H724">
        <v>3317.9186500000001</v>
      </c>
    </row>
    <row r="725" spans="1:8" hidden="1" x14ac:dyDescent="0.3">
      <c r="A725" t="s">
        <v>15</v>
      </c>
      <c r="B725" t="s">
        <v>1140</v>
      </c>
      <c r="C725" t="s">
        <v>1360</v>
      </c>
      <c r="D725" t="s">
        <v>1361</v>
      </c>
      <c r="E725" t="s">
        <v>19</v>
      </c>
      <c r="F725">
        <v>7</v>
      </c>
      <c r="G725">
        <v>317.89949999999999</v>
      </c>
      <c r="H725">
        <v>2171.0863300000001</v>
      </c>
    </row>
    <row r="726" spans="1:8" hidden="1" x14ac:dyDescent="0.3">
      <c r="A726" t="s">
        <v>15</v>
      </c>
      <c r="B726" t="s">
        <v>1140</v>
      </c>
      <c r="C726" t="s">
        <v>1362</v>
      </c>
      <c r="D726" t="s">
        <v>1363</v>
      </c>
      <c r="E726" t="s">
        <v>233</v>
      </c>
      <c r="F726">
        <v>3</v>
      </c>
      <c r="G726">
        <v>471.66699999999997</v>
      </c>
      <c r="H726">
        <v>1415.00001</v>
      </c>
    </row>
    <row r="727" spans="1:8" hidden="1" x14ac:dyDescent="0.3">
      <c r="A727" t="s">
        <v>15</v>
      </c>
      <c r="B727" t="s">
        <v>1140</v>
      </c>
      <c r="C727" t="s">
        <v>231</v>
      </c>
      <c r="D727" t="s">
        <v>232</v>
      </c>
      <c r="E727" t="s">
        <v>233</v>
      </c>
      <c r="F727">
        <v>9</v>
      </c>
      <c r="G727">
        <v>222.477</v>
      </c>
      <c r="H727">
        <v>2004.43586</v>
      </c>
    </row>
    <row r="728" spans="1:8" hidden="1" x14ac:dyDescent="0.3">
      <c r="A728" t="s">
        <v>15</v>
      </c>
      <c r="B728" t="s">
        <v>1140</v>
      </c>
      <c r="C728" t="s">
        <v>1364</v>
      </c>
      <c r="D728" t="s">
        <v>1365</v>
      </c>
      <c r="E728" t="s">
        <v>19</v>
      </c>
      <c r="F728">
        <v>20</v>
      </c>
      <c r="G728">
        <v>319.28100000000001</v>
      </c>
      <c r="H728">
        <v>6385.6135999999997</v>
      </c>
    </row>
    <row r="729" spans="1:8" hidden="1" x14ac:dyDescent="0.3">
      <c r="A729" t="s">
        <v>15</v>
      </c>
      <c r="B729" t="s">
        <v>1140</v>
      </c>
      <c r="C729" t="s">
        <v>1366</v>
      </c>
      <c r="D729" t="s">
        <v>1367</v>
      </c>
      <c r="E729" t="s">
        <v>19</v>
      </c>
      <c r="F729">
        <v>1</v>
      </c>
      <c r="G729">
        <v>680</v>
      </c>
      <c r="H729">
        <v>680</v>
      </c>
    </row>
    <row r="730" spans="1:8" hidden="1" x14ac:dyDescent="0.3">
      <c r="A730" t="s">
        <v>15</v>
      </c>
      <c r="B730" t="s">
        <v>1140</v>
      </c>
      <c r="C730" t="s">
        <v>1368</v>
      </c>
      <c r="D730" t="s">
        <v>1369</v>
      </c>
      <c r="E730" t="s">
        <v>19</v>
      </c>
      <c r="F730">
        <v>2</v>
      </c>
      <c r="G730">
        <v>349.16</v>
      </c>
      <c r="H730">
        <v>698.32</v>
      </c>
    </row>
    <row r="731" spans="1:8" hidden="1" x14ac:dyDescent="0.3">
      <c r="A731" t="s">
        <v>15</v>
      </c>
      <c r="B731" t="s">
        <v>1140</v>
      </c>
      <c r="C731" t="s">
        <v>1370</v>
      </c>
      <c r="D731" t="s">
        <v>1371</v>
      </c>
      <c r="E731" t="s">
        <v>19</v>
      </c>
      <c r="F731">
        <v>1</v>
      </c>
      <c r="G731">
        <v>591.6</v>
      </c>
      <c r="H731">
        <v>591.6</v>
      </c>
    </row>
    <row r="732" spans="1:8" hidden="1" x14ac:dyDescent="0.3">
      <c r="A732" t="s">
        <v>15</v>
      </c>
      <c r="B732" t="s">
        <v>1140</v>
      </c>
      <c r="C732" t="s">
        <v>1372</v>
      </c>
      <c r="D732" t="s">
        <v>1373</v>
      </c>
      <c r="E732" t="s">
        <v>19</v>
      </c>
      <c r="F732">
        <v>1</v>
      </c>
      <c r="G732">
        <v>181.5</v>
      </c>
      <c r="H732">
        <v>181.5</v>
      </c>
    </row>
    <row r="733" spans="1:8" hidden="1" x14ac:dyDescent="0.3">
      <c r="A733" t="s">
        <v>15</v>
      </c>
      <c r="B733" t="s">
        <v>1140</v>
      </c>
      <c r="C733" t="s">
        <v>1374</v>
      </c>
      <c r="D733" t="s">
        <v>1375</v>
      </c>
      <c r="E733" t="s">
        <v>19</v>
      </c>
      <c r="F733">
        <v>1</v>
      </c>
      <c r="G733">
        <v>429.005</v>
      </c>
      <c r="H733">
        <v>429.00459000000001</v>
      </c>
    </row>
    <row r="734" spans="1:8" hidden="1" x14ac:dyDescent="0.3">
      <c r="A734" t="s">
        <v>15</v>
      </c>
      <c r="B734" t="s">
        <v>1140</v>
      </c>
      <c r="C734" t="s">
        <v>1376</v>
      </c>
      <c r="D734" t="s">
        <v>1377</v>
      </c>
      <c r="E734" t="s">
        <v>19</v>
      </c>
      <c r="F734">
        <v>1</v>
      </c>
      <c r="G734">
        <v>38850</v>
      </c>
      <c r="H734">
        <v>38850</v>
      </c>
    </row>
    <row r="735" spans="1:8" hidden="1" x14ac:dyDescent="0.3">
      <c r="A735" t="s">
        <v>15</v>
      </c>
      <c r="B735" t="s">
        <v>1140</v>
      </c>
      <c r="C735" t="s">
        <v>1378</v>
      </c>
      <c r="D735" t="s">
        <v>1379</v>
      </c>
      <c r="E735" t="s">
        <v>19</v>
      </c>
      <c r="F735">
        <v>5</v>
      </c>
      <c r="G735">
        <v>47.475000000000001</v>
      </c>
      <c r="H735">
        <v>237.37610000000001</v>
      </c>
    </row>
    <row r="736" spans="1:8" hidden="1" x14ac:dyDescent="0.3">
      <c r="A736" t="s">
        <v>15</v>
      </c>
      <c r="B736" t="s">
        <v>1140</v>
      </c>
      <c r="C736" t="s">
        <v>1380</v>
      </c>
      <c r="D736" t="s">
        <v>1381</v>
      </c>
      <c r="E736" t="s">
        <v>19</v>
      </c>
      <c r="F736">
        <v>1</v>
      </c>
      <c r="G736">
        <v>2303.5459999999998</v>
      </c>
      <c r="H736">
        <v>2303.5461</v>
      </c>
    </row>
    <row r="737" spans="1:8" hidden="1" x14ac:dyDescent="0.3">
      <c r="A737" t="s">
        <v>15</v>
      </c>
      <c r="B737" t="s">
        <v>1140</v>
      </c>
      <c r="C737" t="s">
        <v>1382</v>
      </c>
      <c r="D737" t="s">
        <v>1383</v>
      </c>
      <c r="E737" t="s">
        <v>19</v>
      </c>
      <c r="F737">
        <v>1</v>
      </c>
      <c r="G737">
        <v>1968.3140000000001</v>
      </c>
      <c r="H737">
        <v>1968.31405</v>
      </c>
    </row>
    <row r="738" spans="1:8" hidden="1" x14ac:dyDescent="0.3">
      <c r="A738" t="s">
        <v>15</v>
      </c>
      <c r="B738" t="s">
        <v>1140</v>
      </c>
      <c r="C738" t="s">
        <v>1384</v>
      </c>
      <c r="D738" t="s">
        <v>1385</v>
      </c>
      <c r="E738" t="s">
        <v>19</v>
      </c>
      <c r="F738">
        <v>2</v>
      </c>
      <c r="G738">
        <v>573.42899999999997</v>
      </c>
      <c r="H738">
        <v>1146.8588400000001</v>
      </c>
    </row>
    <row r="739" spans="1:8" hidden="1" x14ac:dyDescent="0.3">
      <c r="A739" t="s">
        <v>15</v>
      </c>
      <c r="B739" t="s">
        <v>1140</v>
      </c>
      <c r="C739" t="s">
        <v>1386</v>
      </c>
      <c r="D739" t="s">
        <v>1387</v>
      </c>
      <c r="E739" t="s">
        <v>19</v>
      </c>
      <c r="F739">
        <v>1</v>
      </c>
      <c r="G739">
        <v>7457.1229999999996</v>
      </c>
      <c r="H739">
        <v>7457.1228700000001</v>
      </c>
    </row>
    <row r="740" spans="1:8" hidden="1" x14ac:dyDescent="0.3">
      <c r="A740" t="s">
        <v>15</v>
      </c>
      <c r="B740" t="s">
        <v>1140</v>
      </c>
      <c r="C740" t="s">
        <v>1388</v>
      </c>
      <c r="D740" t="s">
        <v>1389</v>
      </c>
      <c r="E740" t="s">
        <v>19</v>
      </c>
      <c r="F740">
        <v>6</v>
      </c>
      <c r="G740">
        <v>578.26300000000003</v>
      </c>
      <c r="H740">
        <v>3469.5802800000001</v>
      </c>
    </row>
    <row r="741" spans="1:8" hidden="1" x14ac:dyDescent="0.3">
      <c r="A741" t="s">
        <v>15</v>
      </c>
      <c r="B741" t="s">
        <v>1140</v>
      </c>
      <c r="C741" t="s">
        <v>1390</v>
      </c>
      <c r="D741" t="s">
        <v>1391</v>
      </c>
      <c r="E741" t="s">
        <v>19</v>
      </c>
      <c r="F741">
        <v>1</v>
      </c>
      <c r="G741">
        <v>331.19</v>
      </c>
      <c r="H741">
        <v>331.18986000000001</v>
      </c>
    </row>
    <row r="742" spans="1:8" hidden="1" x14ac:dyDescent="0.3">
      <c r="A742" t="s">
        <v>15</v>
      </c>
      <c r="B742" t="s">
        <v>1140</v>
      </c>
      <c r="C742" t="s">
        <v>1392</v>
      </c>
      <c r="D742" t="s">
        <v>1393</v>
      </c>
      <c r="E742" t="s">
        <v>19</v>
      </c>
      <c r="F742">
        <v>1</v>
      </c>
      <c r="G742">
        <v>335.84</v>
      </c>
      <c r="H742">
        <v>335.84</v>
      </c>
    </row>
    <row r="743" spans="1:8" hidden="1" x14ac:dyDescent="0.3">
      <c r="A743" t="s">
        <v>15</v>
      </c>
      <c r="B743" t="s">
        <v>1140</v>
      </c>
      <c r="C743" t="s">
        <v>1394</v>
      </c>
      <c r="D743" t="s">
        <v>1395</v>
      </c>
      <c r="E743" t="s">
        <v>233</v>
      </c>
      <c r="F743">
        <v>6</v>
      </c>
      <c r="G743">
        <v>874.101</v>
      </c>
      <c r="H743">
        <v>5244.6076199999998</v>
      </c>
    </row>
    <row r="744" spans="1:8" hidden="1" x14ac:dyDescent="0.3">
      <c r="A744" t="s">
        <v>15</v>
      </c>
      <c r="B744" t="s">
        <v>1140</v>
      </c>
      <c r="C744" t="s">
        <v>1396</v>
      </c>
      <c r="D744" t="s">
        <v>1397</v>
      </c>
      <c r="E744" t="s">
        <v>233</v>
      </c>
      <c r="F744">
        <v>6</v>
      </c>
      <c r="G744">
        <v>668.43</v>
      </c>
      <c r="H744">
        <v>4010.5822800000001</v>
      </c>
    </row>
    <row r="745" spans="1:8" hidden="1" x14ac:dyDescent="0.3">
      <c r="A745" t="s">
        <v>15</v>
      </c>
      <c r="B745" t="s">
        <v>1140</v>
      </c>
      <c r="C745" t="s">
        <v>1398</v>
      </c>
      <c r="D745" t="s">
        <v>1399</v>
      </c>
      <c r="E745" t="s">
        <v>19</v>
      </c>
      <c r="F745">
        <v>1</v>
      </c>
      <c r="G745">
        <v>54940</v>
      </c>
      <c r="H745">
        <v>54940</v>
      </c>
    </row>
    <row r="746" spans="1:8" hidden="1" x14ac:dyDescent="0.3">
      <c r="A746" t="s">
        <v>15</v>
      </c>
      <c r="B746" t="s">
        <v>1140</v>
      </c>
      <c r="C746" t="s">
        <v>1400</v>
      </c>
      <c r="D746" t="s">
        <v>1401</v>
      </c>
      <c r="E746" t="s">
        <v>293</v>
      </c>
      <c r="F746">
        <v>25</v>
      </c>
      <c r="G746">
        <v>3822.96</v>
      </c>
      <c r="H746">
        <v>95574</v>
      </c>
    </row>
    <row r="747" spans="1:8" hidden="1" x14ac:dyDescent="0.3">
      <c r="A747" t="s">
        <v>15</v>
      </c>
      <c r="B747" t="s">
        <v>1140</v>
      </c>
      <c r="C747" t="s">
        <v>639</v>
      </c>
      <c r="D747" t="s">
        <v>640</v>
      </c>
      <c r="E747" t="s">
        <v>19</v>
      </c>
      <c r="F747">
        <v>2</v>
      </c>
      <c r="G747">
        <v>17</v>
      </c>
      <c r="H747">
        <v>34</v>
      </c>
    </row>
    <row r="748" spans="1:8" hidden="1" x14ac:dyDescent="0.3">
      <c r="A748" t="s">
        <v>15</v>
      </c>
      <c r="B748" t="s">
        <v>1140</v>
      </c>
      <c r="C748" t="s">
        <v>1402</v>
      </c>
      <c r="D748" t="s">
        <v>1403</v>
      </c>
      <c r="E748" t="s">
        <v>323</v>
      </c>
      <c r="F748">
        <v>2</v>
      </c>
      <c r="G748">
        <v>55.6</v>
      </c>
      <c r="H748">
        <v>111.2</v>
      </c>
    </row>
    <row r="749" spans="1:8" hidden="1" x14ac:dyDescent="0.3">
      <c r="A749" t="s">
        <v>15</v>
      </c>
      <c r="B749" t="s">
        <v>1140</v>
      </c>
      <c r="C749" t="s">
        <v>759</v>
      </c>
      <c r="D749" t="s">
        <v>760</v>
      </c>
      <c r="E749" t="s">
        <v>323</v>
      </c>
      <c r="F749">
        <v>1255</v>
      </c>
      <c r="G749">
        <v>11.092659574468</v>
      </c>
      <c r="H749">
        <v>13927.340840000001</v>
      </c>
    </row>
    <row r="750" spans="1:8" hidden="1" x14ac:dyDescent="0.3">
      <c r="A750" t="s">
        <v>15</v>
      </c>
      <c r="B750" t="s">
        <v>1140</v>
      </c>
      <c r="C750" t="s">
        <v>1404</v>
      </c>
      <c r="D750" t="s">
        <v>1405</v>
      </c>
      <c r="E750" t="s">
        <v>19</v>
      </c>
      <c r="F750">
        <v>10</v>
      </c>
      <c r="G750">
        <v>2.5</v>
      </c>
      <c r="H750">
        <v>25</v>
      </c>
    </row>
    <row r="751" spans="1:8" hidden="1" x14ac:dyDescent="0.3">
      <c r="A751" t="s">
        <v>15</v>
      </c>
      <c r="B751" t="s">
        <v>1140</v>
      </c>
      <c r="C751" t="s">
        <v>1406</v>
      </c>
      <c r="D751" t="s">
        <v>1407</v>
      </c>
      <c r="E751" t="s">
        <v>323</v>
      </c>
      <c r="F751">
        <v>4</v>
      </c>
      <c r="G751">
        <v>67.900000000000006</v>
      </c>
      <c r="H751">
        <v>271.60000000000002</v>
      </c>
    </row>
    <row r="752" spans="1:8" hidden="1" x14ac:dyDescent="0.3">
      <c r="A752" t="s">
        <v>15</v>
      </c>
      <c r="B752" t="s">
        <v>1140</v>
      </c>
      <c r="C752" t="s">
        <v>321</v>
      </c>
      <c r="D752" t="s">
        <v>322</v>
      </c>
      <c r="E752" t="s">
        <v>323</v>
      </c>
      <c r="F752">
        <v>5</v>
      </c>
      <c r="G752">
        <v>28.405000000000001</v>
      </c>
      <c r="H752">
        <v>142.02719999999999</v>
      </c>
    </row>
    <row r="753" spans="1:8" hidden="1" x14ac:dyDescent="0.3">
      <c r="A753" t="s">
        <v>15</v>
      </c>
      <c r="B753" t="s">
        <v>1140</v>
      </c>
      <c r="C753" t="s">
        <v>257</v>
      </c>
      <c r="D753" t="s">
        <v>258</v>
      </c>
      <c r="E753" t="s">
        <v>19</v>
      </c>
      <c r="F753">
        <v>33</v>
      </c>
      <c r="G753">
        <v>37.622</v>
      </c>
      <c r="H753">
        <v>1241.50983</v>
      </c>
    </row>
    <row r="754" spans="1:8" hidden="1" x14ac:dyDescent="0.3">
      <c r="A754" t="s">
        <v>15</v>
      </c>
      <c r="B754" t="s">
        <v>1140</v>
      </c>
      <c r="C754" t="s">
        <v>761</v>
      </c>
      <c r="D754" t="s">
        <v>762</v>
      </c>
      <c r="E754" t="s">
        <v>19</v>
      </c>
      <c r="F754">
        <v>19</v>
      </c>
      <c r="G754">
        <v>27.9055</v>
      </c>
      <c r="H754">
        <v>530.64008999999999</v>
      </c>
    </row>
    <row r="755" spans="1:8" hidden="1" x14ac:dyDescent="0.3">
      <c r="A755" t="s">
        <v>15</v>
      </c>
      <c r="B755" t="s">
        <v>1140</v>
      </c>
      <c r="C755" t="s">
        <v>1408</v>
      </c>
      <c r="D755" t="s">
        <v>1409</v>
      </c>
      <c r="E755" t="s">
        <v>19</v>
      </c>
      <c r="F755">
        <v>1</v>
      </c>
      <c r="G755">
        <v>3500</v>
      </c>
      <c r="H755">
        <v>3500</v>
      </c>
    </row>
    <row r="756" spans="1:8" hidden="1" x14ac:dyDescent="0.3">
      <c r="A756" t="s">
        <v>15</v>
      </c>
      <c r="B756" t="s">
        <v>1140</v>
      </c>
      <c r="C756" t="s">
        <v>1410</v>
      </c>
      <c r="D756" t="s">
        <v>1411</v>
      </c>
      <c r="E756" t="s">
        <v>533</v>
      </c>
      <c r="F756">
        <v>3</v>
      </c>
      <c r="G756">
        <v>2097</v>
      </c>
      <c r="H756">
        <v>6291</v>
      </c>
    </row>
    <row r="757" spans="1:8" hidden="1" x14ac:dyDescent="0.3">
      <c r="A757" t="s">
        <v>15</v>
      </c>
      <c r="B757" t="s">
        <v>1140</v>
      </c>
      <c r="C757" t="s">
        <v>1412</v>
      </c>
      <c r="D757" t="s">
        <v>1413</v>
      </c>
      <c r="E757" t="s">
        <v>323</v>
      </c>
      <c r="F757">
        <v>3</v>
      </c>
      <c r="G757">
        <v>18511.167333333298</v>
      </c>
      <c r="H757">
        <v>55533.502180000003</v>
      </c>
    </row>
    <row r="758" spans="1:8" hidden="1" x14ac:dyDescent="0.3">
      <c r="A758" t="s">
        <v>15</v>
      </c>
      <c r="B758" t="s">
        <v>1140</v>
      </c>
      <c r="C758" t="s">
        <v>1414</v>
      </c>
      <c r="D758" t="s">
        <v>1415</v>
      </c>
      <c r="E758" t="s">
        <v>323</v>
      </c>
      <c r="F758">
        <v>2</v>
      </c>
      <c r="G758">
        <v>10609.668</v>
      </c>
      <c r="H758">
        <v>21219.33612</v>
      </c>
    </row>
    <row r="759" spans="1:8" hidden="1" x14ac:dyDescent="0.3">
      <c r="A759" t="s">
        <v>15</v>
      </c>
      <c r="B759" t="s">
        <v>1140</v>
      </c>
      <c r="C759" t="s">
        <v>1416</v>
      </c>
      <c r="D759" t="s">
        <v>1417</v>
      </c>
      <c r="E759" t="s">
        <v>19</v>
      </c>
      <c r="F759">
        <v>15</v>
      </c>
      <c r="G759">
        <v>188.08099999999999</v>
      </c>
      <c r="H759">
        <v>2821.20975</v>
      </c>
    </row>
    <row r="760" spans="1:8" hidden="1" x14ac:dyDescent="0.3">
      <c r="A760" t="s">
        <v>15</v>
      </c>
      <c r="B760" t="s">
        <v>1140</v>
      </c>
      <c r="C760" t="s">
        <v>1418</v>
      </c>
      <c r="D760" t="s">
        <v>1419</v>
      </c>
      <c r="E760" t="s">
        <v>19</v>
      </c>
      <c r="F760">
        <v>15</v>
      </c>
      <c r="G760">
        <v>60.920999999999999</v>
      </c>
      <c r="H760">
        <v>913.81889999999999</v>
      </c>
    </row>
    <row r="761" spans="1:8" hidden="1" x14ac:dyDescent="0.3">
      <c r="A761" t="s">
        <v>15</v>
      </c>
      <c r="B761" t="s">
        <v>1140</v>
      </c>
      <c r="C761" t="s">
        <v>1420</v>
      </c>
      <c r="D761" t="s">
        <v>1421</v>
      </c>
      <c r="E761" t="s">
        <v>19</v>
      </c>
      <c r="F761">
        <v>4</v>
      </c>
      <c r="G761">
        <v>127</v>
      </c>
      <c r="H761">
        <v>508</v>
      </c>
    </row>
    <row r="762" spans="1:8" hidden="1" x14ac:dyDescent="0.3">
      <c r="A762" t="s">
        <v>15</v>
      </c>
      <c r="B762" t="s">
        <v>1140</v>
      </c>
      <c r="C762" t="s">
        <v>1422</v>
      </c>
      <c r="D762" t="s">
        <v>1423</v>
      </c>
      <c r="E762" t="s">
        <v>19</v>
      </c>
      <c r="F762">
        <v>2</v>
      </c>
      <c r="G762">
        <v>1995</v>
      </c>
      <c r="H762">
        <v>3990</v>
      </c>
    </row>
    <row r="763" spans="1:8" hidden="1" x14ac:dyDescent="0.3">
      <c r="A763" t="s">
        <v>15</v>
      </c>
      <c r="B763" t="s">
        <v>1140</v>
      </c>
      <c r="C763" t="s">
        <v>1424</v>
      </c>
      <c r="D763" t="s">
        <v>1425</v>
      </c>
      <c r="E763" t="s">
        <v>210</v>
      </c>
      <c r="F763">
        <v>66</v>
      </c>
      <c r="G763">
        <v>7.2389999999999999</v>
      </c>
      <c r="H763">
        <v>477.77532000000002</v>
      </c>
    </row>
    <row r="764" spans="1:8" hidden="1" x14ac:dyDescent="0.3">
      <c r="A764" t="s">
        <v>15</v>
      </c>
      <c r="B764" t="s">
        <v>1140</v>
      </c>
      <c r="C764" t="s">
        <v>1426</v>
      </c>
      <c r="D764" t="s">
        <v>1427</v>
      </c>
      <c r="E764" t="s">
        <v>19</v>
      </c>
      <c r="F764">
        <v>2</v>
      </c>
      <c r="G764">
        <v>134.23500000000001</v>
      </c>
      <c r="H764">
        <v>268.46947999999998</v>
      </c>
    </row>
    <row r="765" spans="1:8" hidden="1" x14ac:dyDescent="0.3">
      <c r="A765" t="s">
        <v>15</v>
      </c>
      <c r="B765" t="s">
        <v>1140</v>
      </c>
      <c r="C765" t="s">
        <v>1008</v>
      </c>
      <c r="D765" t="s">
        <v>1009</v>
      </c>
      <c r="E765" t="s">
        <v>19</v>
      </c>
      <c r="F765">
        <v>70</v>
      </c>
      <c r="G765">
        <v>7.25</v>
      </c>
      <c r="H765">
        <v>507.5</v>
      </c>
    </row>
    <row r="766" spans="1:8" hidden="1" x14ac:dyDescent="0.3">
      <c r="A766" t="s">
        <v>15</v>
      </c>
      <c r="B766" t="s">
        <v>1140</v>
      </c>
      <c r="C766" t="s">
        <v>261</v>
      </c>
      <c r="D766" t="s">
        <v>262</v>
      </c>
      <c r="E766" t="s">
        <v>19</v>
      </c>
      <c r="F766">
        <v>72</v>
      </c>
      <c r="G766">
        <v>7.2225999999999999</v>
      </c>
      <c r="H766">
        <v>517.40467999999998</v>
      </c>
    </row>
    <row r="767" spans="1:8" hidden="1" x14ac:dyDescent="0.3">
      <c r="A767" t="s">
        <v>15</v>
      </c>
      <c r="B767" t="s">
        <v>1140</v>
      </c>
      <c r="C767" t="s">
        <v>1428</v>
      </c>
      <c r="D767" t="s">
        <v>1429</v>
      </c>
      <c r="E767" t="s">
        <v>19</v>
      </c>
      <c r="F767">
        <v>2</v>
      </c>
      <c r="G767">
        <v>36</v>
      </c>
      <c r="H767">
        <v>72</v>
      </c>
    </row>
    <row r="768" spans="1:8" hidden="1" x14ac:dyDescent="0.3">
      <c r="A768" t="s">
        <v>15</v>
      </c>
      <c r="B768" t="s">
        <v>1140</v>
      </c>
      <c r="C768" t="s">
        <v>1430</v>
      </c>
      <c r="D768" t="s">
        <v>1431</v>
      </c>
      <c r="E768" t="s">
        <v>233</v>
      </c>
      <c r="F768">
        <v>10</v>
      </c>
      <c r="G768">
        <v>260</v>
      </c>
      <c r="H768">
        <v>2600</v>
      </c>
    </row>
    <row r="769" spans="1:8" hidden="1" x14ac:dyDescent="0.3">
      <c r="A769" t="s">
        <v>15</v>
      </c>
      <c r="B769" t="s">
        <v>1140</v>
      </c>
      <c r="C769" t="s">
        <v>763</v>
      </c>
      <c r="D769" t="s">
        <v>764</v>
      </c>
      <c r="E769" t="s">
        <v>233</v>
      </c>
      <c r="F769">
        <v>3</v>
      </c>
      <c r="G769">
        <v>200</v>
      </c>
      <c r="H769">
        <v>600</v>
      </c>
    </row>
    <row r="770" spans="1:8" hidden="1" x14ac:dyDescent="0.3">
      <c r="A770" t="s">
        <v>15</v>
      </c>
      <c r="B770" t="s">
        <v>1140</v>
      </c>
      <c r="C770" t="s">
        <v>1432</v>
      </c>
      <c r="D770" t="s">
        <v>1433</v>
      </c>
      <c r="E770" t="s">
        <v>233</v>
      </c>
      <c r="F770">
        <v>5</v>
      </c>
      <c r="G770">
        <v>230</v>
      </c>
      <c r="H770">
        <v>1150</v>
      </c>
    </row>
    <row r="771" spans="1:8" hidden="1" x14ac:dyDescent="0.3">
      <c r="A771" t="s">
        <v>15</v>
      </c>
      <c r="B771" t="s">
        <v>1140</v>
      </c>
      <c r="C771" t="s">
        <v>1434</v>
      </c>
      <c r="D771" t="s">
        <v>1435</v>
      </c>
      <c r="E771" t="s">
        <v>193</v>
      </c>
      <c r="F771">
        <v>315</v>
      </c>
      <c r="G771">
        <v>211.22866666666599</v>
      </c>
      <c r="H771">
        <v>66550.233519999994</v>
      </c>
    </row>
    <row r="772" spans="1:8" hidden="1" x14ac:dyDescent="0.3">
      <c r="A772" t="s">
        <v>15</v>
      </c>
      <c r="B772" t="s">
        <v>1140</v>
      </c>
      <c r="C772" t="s">
        <v>1436</v>
      </c>
      <c r="D772" t="s">
        <v>1437</v>
      </c>
      <c r="E772" t="s">
        <v>193</v>
      </c>
      <c r="F772">
        <v>50</v>
      </c>
      <c r="G772">
        <v>237.86199999999999</v>
      </c>
      <c r="H772">
        <v>11893.121499999999</v>
      </c>
    </row>
    <row r="773" spans="1:8" hidden="1" x14ac:dyDescent="0.3">
      <c r="A773" t="s">
        <v>15</v>
      </c>
      <c r="B773" t="s">
        <v>1140</v>
      </c>
      <c r="C773" t="s">
        <v>1438</v>
      </c>
      <c r="D773" t="s">
        <v>1439</v>
      </c>
      <c r="E773" t="s">
        <v>193</v>
      </c>
      <c r="F773">
        <v>65</v>
      </c>
      <c r="G773">
        <v>420.202</v>
      </c>
      <c r="H773">
        <v>27313.131300000001</v>
      </c>
    </row>
    <row r="774" spans="1:8" hidden="1" x14ac:dyDescent="0.3">
      <c r="A774" t="s">
        <v>15</v>
      </c>
      <c r="B774" t="s">
        <v>1140</v>
      </c>
      <c r="C774" t="s">
        <v>1440</v>
      </c>
      <c r="D774" t="s">
        <v>1441</v>
      </c>
      <c r="E774" t="s">
        <v>193</v>
      </c>
      <c r="F774">
        <v>189</v>
      </c>
      <c r="G774">
        <v>396.55700000000002</v>
      </c>
      <c r="H774">
        <v>75065.758969999995</v>
      </c>
    </row>
    <row r="775" spans="1:8" hidden="1" x14ac:dyDescent="0.3">
      <c r="A775" t="s">
        <v>15</v>
      </c>
      <c r="B775" t="s">
        <v>1140</v>
      </c>
      <c r="C775" t="s">
        <v>1442</v>
      </c>
      <c r="D775" t="s">
        <v>1443</v>
      </c>
      <c r="E775" t="s">
        <v>193</v>
      </c>
      <c r="F775">
        <v>80</v>
      </c>
      <c r="G775">
        <v>1719.4935</v>
      </c>
      <c r="H775">
        <v>137559.47927000001</v>
      </c>
    </row>
    <row r="776" spans="1:8" hidden="1" x14ac:dyDescent="0.3">
      <c r="A776" t="s">
        <v>15</v>
      </c>
      <c r="B776" t="s">
        <v>1140</v>
      </c>
      <c r="C776" t="s">
        <v>1444</v>
      </c>
      <c r="D776" t="s">
        <v>1445</v>
      </c>
      <c r="E776" t="s">
        <v>19</v>
      </c>
      <c r="F776">
        <v>350</v>
      </c>
      <c r="G776">
        <v>52.177333333333301</v>
      </c>
      <c r="H776">
        <v>18263.009999999998</v>
      </c>
    </row>
    <row r="777" spans="1:8" hidden="1" x14ac:dyDescent="0.3">
      <c r="A777" t="s">
        <v>15</v>
      </c>
      <c r="B777" t="s">
        <v>1140</v>
      </c>
      <c r="C777" t="s">
        <v>1446</v>
      </c>
      <c r="D777" t="s">
        <v>1447</v>
      </c>
      <c r="E777" t="s">
        <v>19</v>
      </c>
      <c r="F777">
        <v>300</v>
      </c>
      <c r="G777">
        <v>66.3</v>
      </c>
      <c r="H777">
        <v>19890</v>
      </c>
    </row>
    <row r="778" spans="1:8" hidden="1" x14ac:dyDescent="0.3">
      <c r="A778" t="s">
        <v>15</v>
      </c>
      <c r="B778" t="s">
        <v>1140</v>
      </c>
      <c r="C778" t="s">
        <v>1448</v>
      </c>
      <c r="D778" t="s">
        <v>1449</v>
      </c>
      <c r="E778" t="s">
        <v>19</v>
      </c>
      <c r="F778">
        <v>450</v>
      </c>
      <c r="G778">
        <v>54.200666666666599</v>
      </c>
      <c r="H778">
        <v>24402.647000000001</v>
      </c>
    </row>
    <row r="779" spans="1:8" hidden="1" x14ac:dyDescent="0.3">
      <c r="A779" t="s">
        <v>15</v>
      </c>
      <c r="B779" t="s">
        <v>1140</v>
      </c>
      <c r="C779" t="s">
        <v>1450</v>
      </c>
      <c r="D779" t="s">
        <v>1451</v>
      </c>
      <c r="E779" t="s">
        <v>19</v>
      </c>
      <c r="F779">
        <v>2</v>
      </c>
      <c r="G779">
        <v>667.43299999999999</v>
      </c>
      <c r="H779">
        <v>1334.8658600000001</v>
      </c>
    </row>
    <row r="780" spans="1:8" hidden="1" x14ac:dyDescent="0.3">
      <c r="A780" t="s">
        <v>15</v>
      </c>
      <c r="B780" t="s">
        <v>1140</v>
      </c>
      <c r="C780" t="s">
        <v>1452</v>
      </c>
      <c r="D780" t="s">
        <v>1453</v>
      </c>
      <c r="E780" t="s">
        <v>19</v>
      </c>
      <c r="F780">
        <v>4</v>
      </c>
      <c r="G780">
        <v>1875.2629999999999</v>
      </c>
      <c r="H780">
        <v>7501.0524400000004</v>
      </c>
    </row>
    <row r="781" spans="1:8" hidden="1" x14ac:dyDescent="0.3">
      <c r="A781" t="s">
        <v>15</v>
      </c>
      <c r="B781" t="s">
        <v>1140</v>
      </c>
      <c r="C781" t="s">
        <v>1454</v>
      </c>
      <c r="D781" t="s">
        <v>1455</v>
      </c>
      <c r="E781" t="s">
        <v>19</v>
      </c>
      <c r="F781">
        <v>1</v>
      </c>
      <c r="G781">
        <v>548.27</v>
      </c>
      <c r="H781">
        <v>548.27008000000001</v>
      </c>
    </row>
    <row r="782" spans="1:8" hidden="1" x14ac:dyDescent="0.3">
      <c r="A782" t="s">
        <v>15</v>
      </c>
      <c r="B782" t="s">
        <v>1140</v>
      </c>
      <c r="C782" t="s">
        <v>1456</v>
      </c>
      <c r="D782" t="s">
        <v>1457</v>
      </c>
      <c r="E782" t="s">
        <v>19</v>
      </c>
      <c r="F782">
        <v>2</v>
      </c>
      <c r="G782">
        <v>1017.564</v>
      </c>
      <c r="H782">
        <v>2035.1282200000001</v>
      </c>
    </row>
    <row r="783" spans="1:8" hidden="1" x14ac:dyDescent="0.3">
      <c r="A783" t="s">
        <v>15</v>
      </c>
      <c r="B783" t="s">
        <v>1140</v>
      </c>
      <c r="C783" t="s">
        <v>1458</v>
      </c>
      <c r="D783" t="s">
        <v>1459</v>
      </c>
      <c r="E783" t="s">
        <v>19</v>
      </c>
      <c r="F783">
        <v>2</v>
      </c>
      <c r="G783">
        <v>269.72899999999998</v>
      </c>
      <c r="H783">
        <v>539.45834000000002</v>
      </c>
    </row>
    <row r="784" spans="1:8" hidden="1" x14ac:dyDescent="0.3">
      <c r="A784" t="s">
        <v>15</v>
      </c>
      <c r="B784" t="s">
        <v>1140</v>
      </c>
      <c r="C784" t="s">
        <v>1460</v>
      </c>
      <c r="D784" t="s">
        <v>1461</v>
      </c>
      <c r="E784" t="s">
        <v>19</v>
      </c>
      <c r="F784">
        <v>2</v>
      </c>
      <c r="G784">
        <v>283</v>
      </c>
      <c r="H784">
        <v>566</v>
      </c>
    </row>
    <row r="785" spans="1:8" hidden="1" x14ac:dyDescent="0.3">
      <c r="A785" t="s">
        <v>15</v>
      </c>
      <c r="B785" t="s">
        <v>1140</v>
      </c>
      <c r="C785" t="s">
        <v>1462</v>
      </c>
      <c r="D785" t="s">
        <v>1463</v>
      </c>
      <c r="E785" t="s">
        <v>19</v>
      </c>
      <c r="F785">
        <v>250</v>
      </c>
      <c r="G785">
        <v>54.125</v>
      </c>
      <c r="H785">
        <v>13531.540999999999</v>
      </c>
    </row>
    <row r="786" spans="1:8" hidden="1" x14ac:dyDescent="0.3">
      <c r="A786" t="s">
        <v>15</v>
      </c>
      <c r="B786" t="s">
        <v>1140</v>
      </c>
      <c r="C786" t="s">
        <v>1464</v>
      </c>
      <c r="D786" t="s">
        <v>1465</v>
      </c>
      <c r="E786" t="s">
        <v>19</v>
      </c>
      <c r="F786">
        <v>2</v>
      </c>
      <c r="G786">
        <v>700</v>
      </c>
      <c r="H786">
        <v>1400</v>
      </c>
    </row>
    <row r="787" spans="1:8" hidden="1" x14ac:dyDescent="0.3">
      <c r="A787" t="s">
        <v>15</v>
      </c>
      <c r="B787" t="s">
        <v>1140</v>
      </c>
      <c r="C787" t="s">
        <v>1466</v>
      </c>
      <c r="D787" t="s">
        <v>1467</v>
      </c>
      <c r="E787" t="s">
        <v>19</v>
      </c>
      <c r="F787">
        <v>5</v>
      </c>
      <c r="G787">
        <v>27.864000000000001</v>
      </c>
      <c r="H787">
        <v>139.322</v>
      </c>
    </row>
    <row r="788" spans="1:8" hidden="1" x14ac:dyDescent="0.3">
      <c r="A788" t="s">
        <v>15</v>
      </c>
      <c r="B788" t="s">
        <v>1140</v>
      </c>
      <c r="C788" t="s">
        <v>1468</v>
      </c>
      <c r="D788" t="s">
        <v>1469</v>
      </c>
      <c r="E788" t="s">
        <v>19</v>
      </c>
      <c r="F788">
        <v>8</v>
      </c>
      <c r="G788">
        <v>40.654000000000003</v>
      </c>
      <c r="H788">
        <v>325.23432000000003</v>
      </c>
    </row>
    <row r="789" spans="1:8" hidden="1" x14ac:dyDescent="0.3">
      <c r="A789" t="s">
        <v>15</v>
      </c>
      <c r="B789" t="s">
        <v>1140</v>
      </c>
      <c r="C789" t="s">
        <v>1470</v>
      </c>
      <c r="D789" t="s">
        <v>1471</v>
      </c>
      <c r="E789" t="s">
        <v>19</v>
      </c>
      <c r="F789">
        <v>2</v>
      </c>
      <c r="G789">
        <v>60</v>
      </c>
      <c r="H789">
        <v>120</v>
      </c>
    </row>
    <row r="790" spans="1:8" hidden="1" x14ac:dyDescent="0.3">
      <c r="A790" t="s">
        <v>15</v>
      </c>
      <c r="B790" t="s">
        <v>1140</v>
      </c>
      <c r="C790" t="s">
        <v>1472</v>
      </c>
      <c r="D790" t="s">
        <v>1473</v>
      </c>
      <c r="E790" t="s">
        <v>19</v>
      </c>
      <c r="F790">
        <v>51</v>
      </c>
      <c r="G790">
        <v>397.92950000000002</v>
      </c>
      <c r="H790">
        <v>20250.925439999999</v>
      </c>
    </row>
    <row r="791" spans="1:8" hidden="1" x14ac:dyDescent="0.3">
      <c r="A791" t="s">
        <v>15</v>
      </c>
      <c r="B791" t="s">
        <v>1140</v>
      </c>
      <c r="C791" t="s">
        <v>1474</v>
      </c>
      <c r="D791" t="s">
        <v>1475</v>
      </c>
      <c r="E791" t="s">
        <v>19</v>
      </c>
      <c r="F791">
        <v>4</v>
      </c>
      <c r="G791">
        <v>719.06799999999998</v>
      </c>
      <c r="H791">
        <v>2876.2723999999998</v>
      </c>
    </row>
    <row r="792" spans="1:8" hidden="1" x14ac:dyDescent="0.3">
      <c r="A792" t="s">
        <v>15</v>
      </c>
      <c r="B792" t="s">
        <v>1140</v>
      </c>
      <c r="C792" t="s">
        <v>1476</v>
      </c>
      <c r="D792" t="s">
        <v>1477</v>
      </c>
      <c r="E792" t="s">
        <v>19</v>
      </c>
      <c r="F792">
        <v>2</v>
      </c>
      <c r="G792">
        <v>799.75199999999995</v>
      </c>
      <c r="H792">
        <v>1599.5039999999999</v>
      </c>
    </row>
    <row r="793" spans="1:8" hidden="1" x14ac:dyDescent="0.3">
      <c r="A793" t="s">
        <v>15</v>
      </c>
      <c r="B793" t="s">
        <v>1140</v>
      </c>
      <c r="C793" t="s">
        <v>1478</v>
      </c>
      <c r="D793" t="s">
        <v>1479</v>
      </c>
      <c r="E793" t="s">
        <v>19</v>
      </c>
      <c r="F793">
        <v>1</v>
      </c>
      <c r="G793">
        <v>72600</v>
      </c>
      <c r="H793">
        <v>72600</v>
      </c>
    </row>
    <row r="794" spans="1:8" hidden="1" x14ac:dyDescent="0.3">
      <c r="A794" t="s">
        <v>15</v>
      </c>
      <c r="B794" t="s">
        <v>1140</v>
      </c>
      <c r="C794" t="s">
        <v>1480</v>
      </c>
      <c r="D794" t="s">
        <v>1481</v>
      </c>
      <c r="E794" t="s">
        <v>193</v>
      </c>
      <c r="F794">
        <v>102</v>
      </c>
      <c r="G794">
        <v>1670</v>
      </c>
      <c r="H794">
        <v>170340</v>
      </c>
    </row>
    <row r="795" spans="1:8" hidden="1" x14ac:dyDescent="0.3">
      <c r="A795" t="s">
        <v>15</v>
      </c>
      <c r="B795" t="s">
        <v>1140</v>
      </c>
      <c r="C795" t="s">
        <v>1482</v>
      </c>
      <c r="D795" t="s">
        <v>1483</v>
      </c>
      <c r="E795" t="s">
        <v>19</v>
      </c>
      <c r="F795">
        <v>33</v>
      </c>
      <c r="G795">
        <v>420</v>
      </c>
      <c r="H795">
        <v>13860</v>
      </c>
    </row>
    <row r="796" spans="1:8" hidden="1" x14ac:dyDescent="0.3">
      <c r="A796" t="s">
        <v>15</v>
      </c>
      <c r="B796" t="s">
        <v>1140</v>
      </c>
      <c r="C796" t="s">
        <v>1484</v>
      </c>
      <c r="D796" t="s">
        <v>1485</v>
      </c>
      <c r="E796" t="s">
        <v>19</v>
      </c>
      <c r="F796">
        <v>5</v>
      </c>
      <c r="G796">
        <v>1050</v>
      </c>
      <c r="H796">
        <v>5250</v>
      </c>
    </row>
    <row r="797" spans="1:8" hidden="1" x14ac:dyDescent="0.3">
      <c r="A797" t="s">
        <v>15</v>
      </c>
      <c r="B797" t="s">
        <v>1140</v>
      </c>
      <c r="C797" t="s">
        <v>1486</v>
      </c>
      <c r="D797" t="s">
        <v>1487</v>
      </c>
      <c r="E797" t="s">
        <v>19</v>
      </c>
      <c r="F797">
        <v>5</v>
      </c>
      <c r="G797">
        <v>1328.43</v>
      </c>
      <c r="H797">
        <v>6642.1475499999997</v>
      </c>
    </row>
    <row r="798" spans="1:8" hidden="1" x14ac:dyDescent="0.3">
      <c r="A798" t="s">
        <v>15</v>
      </c>
      <c r="B798" t="s">
        <v>1140</v>
      </c>
      <c r="C798" t="s">
        <v>1488</v>
      </c>
      <c r="D798" t="s">
        <v>1489</v>
      </c>
      <c r="E798" t="s">
        <v>19</v>
      </c>
      <c r="F798">
        <v>1</v>
      </c>
      <c r="G798">
        <v>22688.544000000002</v>
      </c>
      <c r="H798">
        <v>22688.543959999999</v>
      </c>
    </row>
    <row r="799" spans="1:8" hidden="1" x14ac:dyDescent="0.3">
      <c r="A799" t="s">
        <v>15</v>
      </c>
      <c r="B799" t="s">
        <v>1140</v>
      </c>
      <c r="C799" t="s">
        <v>1490</v>
      </c>
      <c r="D799" t="s">
        <v>1491</v>
      </c>
      <c r="E799" t="s">
        <v>19</v>
      </c>
      <c r="F799">
        <v>1</v>
      </c>
      <c r="G799">
        <v>20475.026999999998</v>
      </c>
      <c r="H799">
        <v>20475.027470000001</v>
      </c>
    </row>
    <row r="800" spans="1:8" hidden="1" x14ac:dyDescent="0.3">
      <c r="A800" t="s">
        <v>15</v>
      </c>
      <c r="B800" t="s">
        <v>1140</v>
      </c>
      <c r="C800" t="s">
        <v>1492</v>
      </c>
      <c r="D800" t="s">
        <v>1493</v>
      </c>
      <c r="E800" t="s">
        <v>19</v>
      </c>
      <c r="F800">
        <v>1</v>
      </c>
      <c r="G800">
        <v>8995.4</v>
      </c>
      <c r="H800">
        <v>8995.4</v>
      </c>
    </row>
    <row r="801" spans="1:8" hidden="1" x14ac:dyDescent="0.3">
      <c r="A801" t="s">
        <v>15</v>
      </c>
      <c r="B801" t="s">
        <v>1140</v>
      </c>
      <c r="C801" t="s">
        <v>1494</v>
      </c>
      <c r="D801" t="s">
        <v>1495</v>
      </c>
      <c r="E801" t="s">
        <v>19</v>
      </c>
      <c r="F801">
        <v>2</v>
      </c>
      <c r="G801">
        <v>19131.667000000001</v>
      </c>
      <c r="H801">
        <v>38263.333339999997</v>
      </c>
    </row>
    <row r="802" spans="1:8" hidden="1" x14ac:dyDescent="0.3">
      <c r="A802" t="s">
        <v>15</v>
      </c>
      <c r="B802" t="s">
        <v>1140</v>
      </c>
      <c r="C802" t="s">
        <v>1496</v>
      </c>
      <c r="D802" t="s">
        <v>1497</v>
      </c>
      <c r="E802" t="s">
        <v>19</v>
      </c>
      <c r="F802">
        <v>1</v>
      </c>
      <c r="G802">
        <v>682.81600000000003</v>
      </c>
      <c r="H802">
        <v>682.81552999999997</v>
      </c>
    </row>
    <row r="803" spans="1:8" hidden="1" x14ac:dyDescent="0.3">
      <c r="A803" t="s">
        <v>15</v>
      </c>
      <c r="B803" t="s">
        <v>1140</v>
      </c>
      <c r="C803" t="s">
        <v>1498</v>
      </c>
      <c r="D803" t="s">
        <v>1499</v>
      </c>
      <c r="E803" t="s">
        <v>19</v>
      </c>
      <c r="F803">
        <v>2</v>
      </c>
      <c r="G803">
        <v>1010.275</v>
      </c>
      <c r="H803">
        <v>2020.5505800000001</v>
      </c>
    </row>
    <row r="804" spans="1:8" hidden="1" x14ac:dyDescent="0.3">
      <c r="A804" t="s">
        <v>15</v>
      </c>
      <c r="B804" t="s">
        <v>1140</v>
      </c>
      <c r="C804" t="s">
        <v>1500</v>
      </c>
      <c r="D804" t="s">
        <v>1501</v>
      </c>
      <c r="E804" t="s">
        <v>19</v>
      </c>
      <c r="F804">
        <v>2</v>
      </c>
      <c r="G804">
        <v>719.37900000000002</v>
      </c>
      <c r="H804">
        <v>1438.7589</v>
      </c>
    </row>
    <row r="805" spans="1:8" hidden="1" x14ac:dyDescent="0.3">
      <c r="A805" t="s">
        <v>15</v>
      </c>
      <c r="B805" t="s">
        <v>1140</v>
      </c>
      <c r="C805" t="s">
        <v>1502</v>
      </c>
      <c r="D805" t="s">
        <v>1503</v>
      </c>
      <c r="E805" t="s">
        <v>19</v>
      </c>
      <c r="F805">
        <v>1</v>
      </c>
      <c r="G805">
        <v>806.1</v>
      </c>
      <c r="H805">
        <v>806.1</v>
      </c>
    </row>
    <row r="806" spans="1:8" hidden="1" x14ac:dyDescent="0.3">
      <c r="A806" t="s">
        <v>15</v>
      </c>
      <c r="B806" t="s">
        <v>1140</v>
      </c>
      <c r="C806" t="s">
        <v>1504</v>
      </c>
      <c r="D806" t="s">
        <v>1505</v>
      </c>
      <c r="E806" t="s">
        <v>19</v>
      </c>
      <c r="F806">
        <v>1</v>
      </c>
      <c r="G806">
        <v>135.36000000000001</v>
      </c>
      <c r="H806">
        <v>135.35982000000001</v>
      </c>
    </row>
    <row r="807" spans="1:8" hidden="1" x14ac:dyDescent="0.3">
      <c r="A807" t="s">
        <v>15</v>
      </c>
      <c r="B807" t="s">
        <v>1140</v>
      </c>
      <c r="C807" t="s">
        <v>1506</v>
      </c>
      <c r="D807" t="s">
        <v>1507</v>
      </c>
      <c r="E807" t="s">
        <v>193</v>
      </c>
      <c r="F807">
        <v>5.9</v>
      </c>
      <c r="G807">
        <v>355.10199999999998</v>
      </c>
      <c r="H807">
        <v>2095.1035499999998</v>
      </c>
    </row>
    <row r="808" spans="1:8" hidden="1" x14ac:dyDescent="0.3">
      <c r="A808" t="s">
        <v>15</v>
      </c>
      <c r="B808" t="s">
        <v>1140</v>
      </c>
      <c r="C808" t="s">
        <v>1508</v>
      </c>
      <c r="D808" t="s">
        <v>1509</v>
      </c>
      <c r="E808" t="s">
        <v>19</v>
      </c>
      <c r="F808">
        <v>2</v>
      </c>
      <c r="G808">
        <v>395.39600000000002</v>
      </c>
      <c r="H808">
        <v>790.79208000000006</v>
      </c>
    </row>
    <row r="809" spans="1:8" hidden="1" x14ac:dyDescent="0.3">
      <c r="A809" t="s">
        <v>15</v>
      </c>
      <c r="B809" t="s">
        <v>1140</v>
      </c>
      <c r="C809" t="s">
        <v>1510</v>
      </c>
      <c r="D809" t="s">
        <v>1511</v>
      </c>
      <c r="E809" t="s">
        <v>19</v>
      </c>
      <c r="F809">
        <v>1</v>
      </c>
      <c r="G809">
        <v>139.19999999999999</v>
      </c>
      <c r="H809">
        <v>139.19999999999999</v>
      </c>
    </row>
    <row r="810" spans="1:8" hidden="1" x14ac:dyDescent="0.3">
      <c r="A810" t="s">
        <v>15</v>
      </c>
      <c r="B810" t="s">
        <v>1140</v>
      </c>
      <c r="C810" t="s">
        <v>1512</v>
      </c>
      <c r="D810" t="s">
        <v>1513</v>
      </c>
      <c r="E810" t="s">
        <v>19</v>
      </c>
      <c r="F810">
        <v>2</v>
      </c>
      <c r="G810">
        <v>53.131</v>
      </c>
      <c r="H810">
        <v>106.26182</v>
      </c>
    </row>
    <row r="811" spans="1:8" hidden="1" x14ac:dyDescent="0.3">
      <c r="A811" t="s">
        <v>15</v>
      </c>
      <c r="B811" t="s">
        <v>1140</v>
      </c>
      <c r="C811" t="s">
        <v>1514</v>
      </c>
      <c r="D811" t="s">
        <v>1515</v>
      </c>
      <c r="E811" t="s">
        <v>19</v>
      </c>
      <c r="F811">
        <v>1</v>
      </c>
      <c r="G811">
        <v>299.40600000000001</v>
      </c>
      <c r="H811">
        <v>299.40593999999999</v>
      </c>
    </row>
    <row r="812" spans="1:8" hidden="1" x14ac:dyDescent="0.3">
      <c r="A812" t="s">
        <v>15</v>
      </c>
      <c r="B812" t="s">
        <v>1140</v>
      </c>
      <c r="C812" t="s">
        <v>1516</v>
      </c>
      <c r="D812" t="s">
        <v>1517</v>
      </c>
      <c r="E812" t="s">
        <v>19</v>
      </c>
      <c r="F812">
        <v>1</v>
      </c>
      <c r="G812">
        <v>1400</v>
      </c>
      <c r="H812">
        <v>1400</v>
      </c>
    </row>
    <row r="813" spans="1:8" hidden="1" x14ac:dyDescent="0.3">
      <c r="A813" t="s">
        <v>15</v>
      </c>
      <c r="B813" t="s">
        <v>1140</v>
      </c>
      <c r="C813" t="s">
        <v>1518</v>
      </c>
      <c r="D813" t="s">
        <v>1519</v>
      </c>
      <c r="E813" t="s">
        <v>19</v>
      </c>
      <c r="F813">
        <v>2</v>
      </c>
      <c r="G813">
        <v>291.08</v>
      </c>
      <c r="H813">
        <v>582.16</v>
      </c>
    </row>
    <row r="814" spans="1:8" hidden="1" x14ac:dyDescent="0.3">
      <c r="A814" t="s">
        <v>15</v>
      </c>
      <c r="B814" t="s">
        <v>1140</v>
      </c>
      <c r="C814" t="s">
        <v>1520</v>
      </c>
      <c r="D814" t="s">
        <v>1521</v>
      </c>
      <c r="E814" t="s">
        <v>19</v>
      </c>
      <c r="F814">
        <v>1</v>
      </c>
      <c r="G814">
        <v>2630.84</v>
      </c>
      <c r="H814">
        <v>2630.84</v>
      </c>
    </row>
    <row r="815" spans="1:8" hidden="1" x14ac:dyDescent="0.3">
      <c r="A815" t="s">
        <v>15</v>
      </c>
      <c r="B815" t="s">
        <v>1140</v>
      </c>
      <c r="C815" t="s">
        <v>769</v>
      </c>
      <c r="D815" t="s">
        <v>770</v>
      </c>
      <c r="E815" t="s">
        <v>19</v>
      </c>
      <c r="F815">
        <v>25</v>
      </c>
      <c r="G815">
        <v>22</v>
      </c>
      <c r="H815">
        <v>550</v>
      </c>
    </row>
    <row r="816" spans="1:8" hidden="1" x14ac:dyDescent="0.3">
      <c r="A816" t="s">
        <v>15</v>
      </c>
      <c r="B816" t="s">
        <v>1140</v>
      </c>
      <c r="C816" t="s">
        <v>771</v>
      </c>
      <c r="D816" t="s">
        <v>772</v>
      </c>
      <c r="E816" t="s">
        <v>19</v>
      </c>
      <c r="F816">
        <v>4</v>
      </c>
      <c r="G816">
        <v>65</v>
      </c>
      <c r="H816">
        <v>260</v>
      </c>
    </row>
    <row r="817" spans="1:8" hidden="1" x14ac:dyDescent="0.3">
      <c r="A817" t="s">
        <v>15</v>
      </c>
      <c r="B817" t="s">
        <v>1140</v>
      </c>
      <c r="C817" t="s">
        <v>263</v>
      </c>
      <c r="D817" t="s">
        <v>264</v>
      </c>
      <c r="E817" t="s">
        <v>233</v>
      </c>
      <c r="F817">
        <v>155</v>
      </c>
      <c r="G817">
        <v>23.496849999999998</v>
      </c>
      <c r="H817">
        <v>3674.8481999999999</v>
      </c>
    </row>
    <row r="818" spans="1:8" hidden="1" x14ac:dyDescent="0.3">
      <c r="A818" t="s">
        <v>15</v>
      </c>
      <c r="B818" t="s">
        <v>1140</v>
      </c>
      <c r="C818" t="s">
        <v>1522</v>
      </c>
      <c r="D818" t="s">
        <v>1523</v>
      </c>
      <c r="E818" t="s">
        <v>19</v>
      </c>
      <c r="F818">
        <v>20</v>
      </c>
      <c r="G818">
        <v>2434.9012857142802</v>
      </c>
      <c r="H818">
        <v>48889.224090000003</v>
      </c>
    </row>
    <row r="819" spans="1:8" hidden="1" x14ac:dyDescent="0.3">
      <c r="A819" t="s">
        <v>15</v>
      </c>
      <c r="B819" t="s">
        <v>1140</v>
      </c>
      <c r="C819" t="s">
        <v>265</v>
      </c>
      <c r="D819" t="s">
        <v>266</v>
      </c>
      <c r="E819" t="s">
        <v>233</v>
      </c>
      <c r="F819">
        <v>5</v>
      </c>
      <c r="G819">
        <v>52.140999999999998</v>
      </c>
      <c r="H819">
        <v>260.70650000000001</v>
      </c>
    </row>
    <row r="820" spans="1:8" hidden="1" x14ac:dyDescent="0.3">
      <c r="A820" t="s">
        <v>15</v>
      </c>
      <c r="B820" t="s">
        <v>1140</v>
      </c>
      <c r="C820" t="s">
        <v>1524</v>
      </c>
      <c r="D820" t="s">
        <v>1525</v>
      </c>
      <c r="E820" t="s">
        <v>233</v>
      </c>
      <c r="F820">
        <v>31</v>
      </c>
      <c r="G820">
        <v>492.72300000000001</v>
      </c>
      <c r="H820">
        <v>15274.413619999999</v>
      </c>
    </row>
    <row r="821" spans="1:8" hidden="1" x14ac:dyDescent="0.3">
      <c r="A821" t="s">
        <v>15</v>
      </c>
      <c r="B821" t="s">
        <v>1140</v>
      </c>
      <c r="C821" t="s">
        <v>1526</v>
      </c>
      <c r="D821" t="s">
        <v>1527</v>
      </c>
      <c r="E821" t="s">
        <v>233</v>
      </c>
      <c r="F821">
        <v>5</v>
      </c>
      <c r="G821">
        <v>475.97399999999999</v>
      </c>
      <c r="H821">
        <v>2379.87</v>
      </c>
    </row>
    <row r="822" spans="1:8" hidden="1" x14ac:dyDescent="0.3">
      <c r="A822" t="s">
        <v>15</v>
      </c>
      <c r="B822" t="s">
        <v>1140</v>
      </c>
      <c r="C822" t="s">
        <v>1528</v>
      </c>
      <c r="D822" t="s">
        <v>1529</v>
      </c>
      <c r="E822" t="s">
        <v>233</v>
      </c>
      <c r="F822">
        <v>130</v>
      </c>
      <c r="G822">
        <v>52.076000000000001</v>
      </c>
      <c r="H822">
        <v>6769.8891000000003</v>
      </c>
    </row>
    <row r="823" spans="1:8" hidden="1" x14ac:dyDescent="0.3">
      <c r="A823" t="s">
        <v>15</v>
      </c>
      <c r="B823" t="s">
        <v>1140</v>
      </c>
      <c r="C823" t="s">
        <v>1530</v>
      </c>
      <c r="D823" t="s">
        <v>1531</v>
      </c>
      <c r="E823" t="s">
        <v>233</v>
      </c>
      <c r="F823">
        <v>455</v>
      </c>
      <c r="G823">
        <v>51.823999999999998</v>
      </c>
      <c r="H823">
        <v>23580.006450000001</v>
      </c>
    </row>
    <row r="824" spans="1:8" hidden="1" x14ac:dyDescent="0.3">
      <c r="A824" t="s">
        <v>15</v>
      </c>
      <c r="B824" t="s">
        <v>1140</v>
      </c>
      <c r="C824" t="s">
        <v>1532</v>
      </c>
      <c r="D824" t="s">
        <v>1533</v>
      </c>
      <c r="E824" t="s">
        <v>233</v>
      </c>
      <c r="F824">
        <v>2400</v>
      </c>
      <c r="G824">
        <v>52.076999999999998</v>
      </c>
      <c r="H824">
        <v>124984.74</v>
      </c>
    </row>
    <row r="825" spans="1:8" hidden="1" x14ac:dyDescent="0.3">
      <c r="A825" t="s">
        <v>15</v>
      </c>
      <c r="B825" t="s">
        <v>1140</v>
      </c>
      <c r="C825" t="s">
        <v>1534</v>
      </c>
      <c r="D825" t="s">
        <v>1535</v>
      </c>
      <c r="E825" t="s">
        <v>233</v>
      </c>
      <c r="F825">
        <v>1580</v>
      </c>
      <c r="G825">
        <v>59.031999999999996</v>
      </c>
      <c r="H825">
        <v>93271.1446</v>
      </c>
    </row>
    <row r="826" spans="1:8" hidden="1" x14ac:dyDescent="0.3">
      <c r="A826" t="s">
        <v>15</v>
      </c>
      <c r="B826" t="s">
        <v>1140</v>
      </c>
      <c r="C826" t="s">
        <v>1536</v>
      </c>
      <c r="D826" t="s">
        <v>1537</v>
      </c>
      <c r="E826" t="s">
        <v>233</v>
      </c>
      <c r="F826">
        <v>300</v>
      </c>
      <c r="G826">
        <v>58.2</v>
      </c>
      <c r="H826">
        <v>17459.916000000001</v>
      </c>
    </row>
    <row r="827" spans="1:8" hidden="1" x14ac:dyDescent="0.3">
      <c r="A827" t="s">
        <v>15</v>
      </c>
      <c r="B827" t="s">
        <v>1140</v>
      </c>
      <c r="C827" t="s">
        <v>1538</v>
      </c>
      <c r="D827" t="s">
        <v>1539</v>
      </c>
      <c r="E827" t="s">
        <v>193</v>
      </c>
      <c r="F827">
        <v>2</v>
      </c>
      <c r="G827">
        <v>1925.905</v>
      </c>
      <c r="H827">
        <v>3851.8102199999998</v>
      </c>
    </row>
    <row r="828" spans="1:8" hidden="1" x14ac:dyDescent="0.3">
      <c r="A828" t="s">
        <v>15</v>
      </c>
      <c r="B828" t="s">
        <v>1140</v>
      </c>
      <c r="C828" t="s">
        <v>1540</v>
      </c>
      <c r="D828" t="s">
        <v>1541</v>
      </c>
      <c r="E828" t="s">
        <v>233</v>
      </c>
      <c r="F828">
        <v>30</v>
      </c>
      <c r="G828">
        <v>195.53200000000001</v>
      </c>
      <c r="H828">
        <v>5865.9732000000004</v>
      </c>
    </row>
    <row r="829" spans="1:8" hidden="1" x14ac:dyDescent="0.3">
      <c r="A829" t="s">
        <v>15</v>
      </c>
      <c r="B829" t="s">
        <v>1140</v>
      </c>
      <c r="C829" t="s">
        <v>791</v>
      </c>
      <c r="D829" t="s">
        <v>792</v>
      </c>
      <c r="E829" t="s">
        <v>19</v>
      </c>
      <c r="F829">
        <v>3</v>
      </c>
      <c r="G829">
        <v>325</v>
      </c>
      <c r="H829">
        <v>975</v>
      </c>
    </row>
    <row r="830" spans="1:8" hidden="1" x14ac:dyDescent="0.3">
      <c r="A830" t="s">
        <v>15</v>
      </c>
      <c r="B830" t="s">
        <v>1140</v>
      </c>
      <c r="C830" t="s">
        <v>269</v>
      </c>
      <c r="D830" t="s">
        <v>270</v>
      </c>
      <c r="E830" t="s">
        <v>244</v>
      </c>
      <c r="F830">
        <v>117</v>
      </c>
      <c r="G830">
        <v>284.84924999999998</v>
      </c>
      <c r="H830">
        <v>33316.251320000003</v>
      </c>
    </row>
    <row r="831" spans="1:8" hidden="1" x14ac:dyDescent="0.3">
      <c r="A831" t="s">
        <v>15</v>
      </c>
      <c r="B831" t="s">
        <v>1140</v>
      </c>
      <c r="C831" t="s">
        <v>271</v>
      </c>
      <c r="D831" t="s">
        <v>272</v>
      </c>
      <c r="E831" t="s">
        <v>244</v>
      </c>
      <c r="F831">
        <v>73</v>
      </c>
      <c r="G831">
        <v>348.766909090909</v>
      </c>
      <c r="H831">
        <v>25480.884160000001</v>
      </c>
    </row>
    <row r="832" spans="1:8" hidden="1" x14ac:dyDescent="0.3">
      <c r="A832" t="s">
        <v>15</v>
      </c>
      <c r="B832" t="s">
        <v>1140</v>
      </c>
      <c r="C832" t="s">
        <v>1542</v>
      </c>
      <c r="D832" t="s">
        <v>1543</v>
      </c>
      <c r="E832" t="s">
        <v>193</v>
      </c>
      <c r="F832">
        <v>50</v>
      </c>
      <c r="G832">
        <v>221.5</v>
      </c>
      <c r="H832">
        <v>11075</v>
      </c>
    </row>
    <row r="833" spans="1:8" hidden="1" x14ac:dyDescent="0.3">
      <c r="A833" t="s">
        <v>15</v>
      </c>
      <c r="B833" t="s">
        <v>1140</v>
      </c>
      <c r="C833" t="s">
        <v>1544</v>
      </c>
      <c r="D833" t="s">
        <v>1545</v>
      </c>
      <c r="E833" t="s">
        <v>244</v>
      </c>
      <c r="F833">
        <v>12</v>
      </c>
      <c r="G833">
        <v>604.14300000000003</v>
      </c>
      <c r="H833">
        <v>7249.71432</v>
      </c>
    </row>
    <row r="834" spans="1:8" hidden="1" x14ac:dyDescent="0.3">
      <c r="A834" t="s">
        <v>15</v>
      </c>
      <c r="B834" t="s">
        <v>1140</v>
      </c>
      <c r="C834" t="s">
        <v>273</v>
      </c>
      <c r="D834" t="s">
        <v>274</v>
      </c>
      <c r="E834" t="s">
        <v>19</v>
      </c>
      <c r="F834">
        <v>27</v>
      </c>
      <c r="G834">
        <v>12.14</v>
      </c>
      <c r="H834">
        <v>327.76731000000001</v>
      </c>
    </row>
    <row r="835" spans="1:8" hidden="1" x14ac:dyDescent="0.3">
      <c r="A835" t="s">
        <v>15</v>
      </c>
      <c r="B835" t="s">
        <v>1140</v>
      </c>
      <c r="C835" t="s">
        <v>1072</v>
      </c>
      <c r="D835" t="s">
        <v>1073</v>
      </c>
      <c r="E835" t="s">
        <v>19</v>
      </c>
      <c r="F835">
        <v>10</v>
      </c>
      <c r="G835">
        <v>2.6429999999999998</v>
      </c>
      <c r="H835">
        <v>26.425599999999999</v>
      </c>
    </row>
    <row r="836" spans="1:8" hidden="1" x14ac:dyDescent="0.3">
      <c r="A836" t="s">
        <v>15</v>
      </c>
      <c r="B836" t="s">
        <v>1140</v>
      </c>
      <c r="C836" t="s">
        <v>1074</v>
      </c>
      <c r="D836" t="s">
        <v>1075</v>
      </c>
      <c r="E836" t="s">
        <v>19</v>
      </c>
      <c r="F836">
        <v>6</v>
      </c>
      <c r="G836">
        <v>411.76933333333301</v>
      </c>
      <c r="H836">
        <v>2466.5077700000002</v>
      </c>
    </row>
    <row r="837" spans="1:8" hidden="1" x14ac:dyDescent="0.3">
      <c r="A837" t="s">
        <v>15</v>
      </c>
      <c r="B837" t="s">
        <v>1140</v>
      </c>
      <c r="C837" t="s">
        <v>1076</v>
      </c>
      <c r="D837" t="s">
        <v>1077</v>
      </c>
      <c r="E837" t="s">
        <v>19</v>
      </c>
      <c r="F837">
        <v>3</v>
      </c>
      <c r="G837">
        <v>5815.2939999999999</v>
      </c>
      <c r="H837">
        <v>17445.881580000001</v>
      </c>
    </row>
    <row r="838" spans="1:8" hidden="1" x14ac:dyDescent="0.3">
      <c r="A838" t="s">
        <v>15</v>
      </c>
      <c r="B838" t="s">
        <v>1140</v>
      </c>
      <c r="C838" t="s">
        <v>1078</v>
      </c>
      <c r="D838" t="s">
        <v>1079</v>
      </c>
      <c r="E838" t="s">
        <v>19</v>
      </c>
      <c r="F838">
        <v>2</v>
      </c>
      <c r="G838">
        <v>214.233</v>
      </c>
      <c r="H838">
        <v>428.46636000000001</v>
      </c>
    </row>
    <row r="839" spans="1:8" hidden="1" x14ac:dyDescent="0.3">
      <c r="A839" t="s">
        <v>15</v>
      </c>
      <c r="B839" t="s">
        <v>1140</v>
      </c>
      <c r="C839" t="s">
        <v>1080</v>
      </c>
      <c r="D839" t="s">
        <v>1081</v>
      </c>
      <c r="E839" t="s">
        <v>19</v>
      </c>
      <c r="F839">
        <v>2</v>
      </c>
      <c r="G839">
        <v>650</v>
      </c>
      <c r="H839">
        <v>1300</v>
      </c>
    </row>
    <row r="840" spans="1:8" hidden="1" x14ac:dyDescent="0.3">
      <c r="A840" t="s">
        <v>15</v>
      </c>
      <c r="B840" t="s">
        <v>1140</v>
      </c>
      <c r="C840" t="s">
        <v>1546</v>
      </c>
      <c r="D840" t="s">
        <v>1547</v>
      </c>
      <c r="E840" t="s">
        <v>19</v>
      </c>
      <c r="F840">
        <v>70</v>
      </c>
      <c r="G840">
        <v>234.5</v>
      </c>
      <c r="H840">
        <v>16415</v>
      </c>
    </row>
    <row r="841" spans="1:8" hidden="1" x14ac:dyDescent="0.3">
      <c r="A841" t="s">
        <v>15</v>
      </c>
      <c r="B841" t="s">
        <v>1140</v>
      </c>
      <c r="C841" t="s">
        <v>1548</v>
      </c>
      <c r="D841" t="s">
        <v>1549</v>
      </c>
      <c r="E841" t="s">
        <v>19</v>
      </c>
      <c r="F841">
        <v>4</v>
      </c>
      <c r="G841">
        <v>2899.8746666666598</v>
      </c>
      <c r="H841">
        <v>11668.04888</v>
      </c>
    </row>
    <row r="842" spans="1:8" hidden="1" x14ac:dyDescent="0.3">
      <c r="A842" t="s">
        <v>15</v>
      </c>
      <c r="B842" t="s">
        <v>1140</v>
      </c>
      <c r="C842" t="s">
        <v>1550</v>
      </c>
      <c r="D842" t="s">
        <v>1551</v>
      </c>
      <c r="E842" t="s">
        <v>19</v>
      </c>
      <c r="F842">
        <v>1</v>
      </c>
      <c r="G842">
        <v>21.163</v>
      </c>
      <c r="H842">
        <v>21.162659999999999</v>
      </c>
    </row>
    <row r="843" spans="1:8" hidden="1" x14ac:dyDescent="0.3">
      <c r="A843" t="s">
        <v>15</v>
      </c>
      <c r="B843" t="s">
        <v>1140</v>
      </c>
      <c r="C843" t="s">
        <v>1552</v>
      </c>
      <c r="D843" t="s">
        <v>1553</v>
      </c>
      <c r="E843" t="s">
        <v>19</v>
      </c>
      <c r="F843">
        <v>5</v>
      </c>
      <c r="G843">
        <v>1144.4739999999999</v>
      </c>
      <c r="H843">
        <v>5722.3684000000003</v>
      </c>
    </row>
    <row r="844" spans="1:8" hidden="1" x14ac:dyDescent="0.3">
      <c r="A844" t="s">
        <v>15</v>
      </c>
      <c r="B844" t="s">
        <v>1140</v>
      </c>
      <c r="C844" t="s">
        <v>1554</v>
      </c>
      <c r="D844" t="s">
        <v>1555</v>
      </c>
      <c r="E844" t="s">
        <v>19</v>
      </c>
      <c r="F844">
        <v>1</v>
      </c>
      <c r="G844">
        <v>7790.1360000000004</v>
      </c>
      <c r="H844">
        <v>7790.1364100000001</v>
      </c>
    </row>
    <row r="845" spans="1:8" hidden="1" x14ac:dyDescent="0.3">
      <c r="A845" t="s">
        <v>15</v>
      </c>
      <c r="B845" t="s">
        <v>1140</v>
      </c>
      <c r="C845" t="s">
        <v>1084</v>
      </c>
      <c r="D845" t="s">
        <v>1085</v>
      </c>
      <c r="E845" t="s">
        <v>19</v>
      </c>
      <c r="F845">
        <v>1</v>
      </c>
      <c r="G845">
        <v>193.92500000000001</v>
      </c>
      <c r="H845">
        <v>193.92453</v>
      </c>
    </row>
    <row r="846" spans="1:8" hidden="1" x14ac:dyDescent="0.3">
      <c r="A846" t="s">
        <v>15</v>
      </c>
      <c r="B846" t="s">
        <v>1140</v>
      </c>
      <c r="C846" t="s">
        <v>1556</v>
      </c>
      <c r="D846" t="s">
        <v>1557</v>
      </c>
      <c r="E846" t="s">
        <v>19</v>
      </c>
      <c r="F846">
        <v>1</v>
      </c>
      <c r="G846">
        <v>71.751000000000005</v>
      </c>
      <c r="H846">
        <v>71.75112</v>
      </c>
    </row>
    <row r="847" spans="1:8" hidden="1" x14ac:dyDescent="0.3">
      <c r="A847" t="s">
        <v>15</v>
      </c>
      <c r="B847" t="s">
        <v>1140</v>
      </c>
      <c r="C847" t="s">
        <v>1088</v>
      </c>
      <c r="D847" t="s">
        <v>1089</v>
      </c>
      <c r="E847" t="s">
        <v>19</v>
      </c>
      <c r="F847">
        <v>4</v>
      </c>
      <c r="G847">
        <v>199.47499999999999</v>
      </c>
      <c r="H847">
        <v>797.89840000000004</v>
      </c>
    </row>
    <row r="848" spans="1:8" hidden="1" x14ac:dyDescent="0.3">
      <c r="A848" t="s">
        <v>15</v>
      </c>
      <c r="B848" t="s">
        <v>1140</v>
      </c>
      <c r="C848" t="s">
        <v>1558</v>
      </c>
      <c r="D848" t="s">
        <v>1559</v>
      </c>
      <c r="E848" t="s">
        <v>19</v>
      </c>
      <c r="F848">
        <v>1</v>
      </c>
      <c r="G848">
        <v>61397.680999999997</v>
      </c>
      <c r="H848">
        <v>61397.680740000003</v>
      </c>
    </row>
    <row r="849" spans="1:8" hidden="1" x14ac:dyDescent="0.3">
      <c r="A849" t="s">
        <v>15</v>
      </c>
      <c r="B849" t="s">
        <v>1140</v>
      </c>
      <c r="C849" t="s">
        <v>1560</v>
      </c>
      <c r="D849" t="s">
        <v>1561</v>
      </c>
      <c r="E849" t="s">
        <v>19</v>
      </c>
      <c r="F849">
        <v>2</v>
      </c>
      <c r="G849">
        <v>550</v>
      </c>
      <c r="H849">
        <v>1100</v>
      </c>
    </row>
    <row r="850" spans="1:8" hidden="1" x14ac:dyDescent="0.3">
      <c r="A850" t="s">
        <v>15</v>
      </c>
      <c r="B850" t="s">
        <v>1140</v>
      </c>
      <c r="C850" t="s">
        <v>1562</v>
      </c>
      <c r="D850" t="s">
        <v>1563</v>
      </c>
      <c r="E850" t="s">
        <v>19</v>
      </c>
      <c r="F850">
        <v>4</v>
      </c>
      <c r="G850">
        <v>1687.4259999999999</v>
      </c>
      <c r="H850">
        <v>6749.7028</v>
      </c>
    </row>
    <row r="851" spans="1:8" hidden="1" x14ac:dyDescent="0.3">
      <c r="A851" t="s">
        <v>15</v>
      </c>
      <c r="B851" t="s">
        <v>1140</v>
      </c>
      <c r="C851" t="s">
        <v>1564</v>
      </c>
      <c r="D851" t="s">
        <v>1565</v>
      </c>
      <c r="E851" t="s">
        <v>19</v>
      </c>
      <c r="F851">
        <v>2</v>
      </c>
      <c r="G851">
        <v>447.09699999999998</v>
      </c>
      <c r="H851">
        <v>894.19385999999997</v>
      </c>
    </row>
    <row r="852" spans="1:8" hidden="1" x14ac:dyDescent="0.3">
      <c r="A852" t="s">
        <v>15</v>
      </c>
      <c r="B852" t="s">
        <v>1140</v>
      </c>
      <c r="C852" t="s">
        <v>1566</v>
      </c>
      <c r="D852" t="s">
        <v>1567</v>
      </c>
      <c r="E852" t="s">
        <v>19</v>
      </c>
      <c r="F852">
        <v>1</v>
      </c>
      <c r="G852">
        <v>3989.9789999999998</v>
      </c>
      <c r="H852">
        <v>3989.9793599999998</v>
      </c>
    </row>
    <row r="853" spans="1:8" hidden="1" x14ac:dyDescent="0.3">
      <c r="A853" t="s">
        <v>15</v>
      </c>
      <c r="B853" t="s">
        <v>1140</v>
      </c>
      <c r="C853" t="s">
        <v>793</v>
      </c>
      <c r="D853" t="s">
        <v>794</v>
      </c>
      <c r="E853" t="s">
        <v>19</v>
      </c>
      <c r="F853">
        <v>1</v>
      </c>
      <c r="G853">
        <v>392.22899999999998</v>
      </c>
      <c r="H853">
        <v>392.22921000000002</v>
      </c>
    </row>
    <row r="854" spans="1:8" hidden="1" x14ac:dyDescent="0.3">
      <c r="A854" t="s">
        <v>15</v>
      </c>
      <c r="B854" t="s">
        <v>1140</v>
      </c>
      <c r="C854" t="s">
        <v>795</v>
      </c>
      <c r="D854" t="s">
        <v>796</v>
      </c>
      <c r="E854" t="s">
        <v>19</v>
      </c>
      <c r="F854">
        <v>1</v>
      </c>
      <c r="G854">
        <v>528.35</v>
      </c>
      <c r="H854">
        <v>528.34996999999998</v>
      </c>
    </row>
    <row r="855" spans="1:8" hidden="1" x14ac:dyDescent="0.3">
      <c r="A855" t="s">
        <v>15</v>
      </c>
      <c r="B855" t="s">
        <v>1140</v>
      </c>
      <c r="C855" t="s">
        <v>1568</v>
      </c>
      <c r="D855" t="s">
        <v>1569</v>
      </c>
      <c r="E855" t="s">
        <v>19</v>
      </c>
      <c r="F855">
        <v>1</v>
      </c>
      <c r="G855">
        <v>17994.778999999999</v>
      </c>
      <c r="H855">
        <v>17994.77866</v>
      </c>
    </row>
    <row r="856" spans="1:8" hidden="1" x14ac:dyDescent="0.3">
      <c r="A856" t="s">
        <v>15</v>
      </c>
      <c r="B856" t="s">
        <v>1140</v>
      </c>
      <c r="C856" t="s">
        <v>1570</v>
      </c>
      <c r="D856" t="s">
        <v>1571</v>
      </c>
      <c r="E856" t="s">
        <v>19</v>
      </c>
      <c r="F856">
        <v>3</v>
      </c>
      <c r="G856">
        <v>1623.3333333333301</v>
      </c>
      <c r="H856">
        <v>4870</v>
      </c>
    </row>
    <row r="857" spans="1:8" hidden="1" x14ac:dyDescent="0.3">
      <c r="A857" t="s">
        <v>15</v>
      </c>
      <c r="B857" t="s">
        <v>1140</v>
      </c>
      <c r="C857" t="s">
        <v>1572</v>
      </c>
      <c r="D857" t="s">
        <v>1573</v>
      </c>
      <c r="E857" t="s">
        <v>19</v>
      </c>
      <c r="F857">
        <v>2</v>
      </c>
      <c r="G857">
        <v>1570</v>
      </c>
      <c r="H857">
        <v>3140</v>
      </c>
    </row>
    <row r="858" spans="1:8" hidden="1" x14ac:dyDescent="0.3">
      <c r="A858" t="s">
        <v>15</v>
      </c>
      <c r="B858" t="s">
        <v>1140</v>
      </c>
      <c r="C858" t="s">
        <v>1574</v>
      </c>
      <c r="D858" t="s">
        <v>1575</v>
      </c>
      <c r="E858" t="s">
        <v>19</v>
      </c>
      <c r="F858">
        <v>3</v>
      </c>
      <c r="G858">
        <v>256.20499999999998</v>
      </c>
      <c r="H858">
        <v>768.61361999999997</v>
      </c>
    </row>
    <row r="859" spans="1:8" hidden="1" x14ac:dyDescent="0.3">
      <c r="A859" t="s">
        <v>15</v>
      </c>
      <c r="B859" t="s">
        <v>1140</v>
      </c>
      <c r="C859" t="s">
        <v>1576</v>
      </c>
      <c r="D859" t="s">
        <v>1577</v>
      </c>
      <c r="E859" t="s">
        <v>19</v>
      </c>
      <c r="F859">
        <v>2</v>
      </c>
      <c r="G859">
        <v>393.12</v>
      </c>
      <c r="H859">
        <v>786.24</v>
      </c>
    </row>
    <row r="860" spans="1:8" hidden="1" x14ac:dyDescent="0.3">
      <c r="A860" t="s">
        <v>15</v>
      </c>
      <c r="B860" t="s">
        <v>1140</v>
      </c>
      <c r="C860" t="s">
        <v>1578</v>
      </c>
      <c r="D860" t="s">
        <v>1579</v>
      </c>
      <c r="E860" t="s">
        <v>19</v>
      </c>
      <c r="F860">
        <v>1</v>
      </c>
      <c r="G860">
        <v>1788.16</v>
      </c>
      <c r="H860">
        <v>1788.16</v>
      </c>
    </row>
    <row r="861" spans="1:8" hidden="1" x14ac:dyDescent="0.3">
      <c r="A861" t="s">
        <v>15</v>
      </c>
      <c r="B861" t="s">
        <v>1140</v>
      </c>
      <c r="C861" t="s">
        <v>1580</v>
      </c>
      <c r="D861" t="s">
        <v>1581</v>
      </c>
      <c r="E861" t="s">
        <v>19</v>
      </c>
      <c r="F861">
        <v>1</v>
      </c>
      <c r="G861">
        <v>33085.063999999998</v>
      </c>
      <c r="H861">
        <v>33085.063999999998</v>
      </c>
    </row>
    <row r="862" spans="1:8" hidden="1" x14ac:dyDescent="0.3">
      <c r="A862" t="s">
        <v>15</v>
      </c>
      <c r="B862" t="s">
        <v>1140</v>
      </c>
      <c r="C862" t="s">
        <v>1582</v>
      </c>
      <c r="D862" t="s">
        <v>1583</v>
      </c>
      <c r="E862" t="s">
        <v>19</v>
      </c>
      <c r="F862">
        <v>2</v>
      </c>
      <c r="G862">
        <v>2923.3209999999999</v>
      </c>
      <c r="H862">
        <v>5846.6413599999996</v>
      </c>
    </row>
    <row r="863" spans="1:8" hidden="1" x14ac:dyDescent="0.3">
      <c r="A863" t="s">
        <v>15</v>
      </c>
      <c r="B863" t="s">
        <v>1140</v>
      </c>
      <c r="C863" t="s">
        <v>1584</v>
      </c>
      <c r="D863" t="s">
        <v>1585</v>
      </c>
      <c r="E863" t="s">
        <v>19</v>
      </c>
      <c r="F863">
        <v>1</v>
      </c>
      <c r="G863">
        <v>15890</v>
      </c>
      <c r="H863">
        <v>15890</v>
      </c>
    </row>
    <row r="864" spans="1:8" hidden="1" x14ac:dyDescent="0.3">
      <c r="A864" t="s">
        <v>15</v>
      </c>
      <c r="B864" t="s">
        <v>1140</v>
      </c>
      <c r="C864" t="s">
        <v>1586</v>
      </c>
      <c r="D864" t="s">
        <v>1587</v>
      </c>
      <c r="E864" t="s">
        <v>19</v>
      </c>
      <c r="F864">
        <v>1</v>
      </c>
      <c r="G864">
        <v>9200</v>
      </c>
      <c r="H864">
        <v>9200</v>
      </c>
    </row>
    <row r="865" spans="1:8" hidden="1" x14ac:dyDescent="0.3">
      <c r="A865" t="s">
        <v>15</v>
      </c>
      <c r="B865" t="s">
        <v>1140</v>
      </c>
      <c r="C865" t="s">
        <v>1588</v>
      </c>
      <c r="D865" t="s">
        <v>1589</v>
      </c>
      <c r="E865" t="s">
        <v>19</v>
      </c>
      <c r="F865">
        <v>5</v>
      </c>
      <c r="G865">
        <v>791.66666666666595</v>
      </c>
      <c r="H865">
        <v>3887.5</v>
      </c>
    </row>
    <row r="866" spans="1:8" hidden="1" x14ac:dyDescent="0.3">
      <c r="A866" t="s">
        <v>15</v>
      </c>
      <c r="B866" t="s">
        <v>1140</v>
      </c>
      <c r="C866" t="s">
        <v>1590</v>
      </c>
      <c r="D866" t="s">
        <v>1591</v>
      </c>
      <c r="E866" t="s">
        <v>244</v>
      </c>
      <c r="F866">
        <v>4</v>
      </c>
      <c r="G866">
        <v>1057</v>
      </c>
      <c r="H866">
        <v>4228</v>
      </c>
    </row>
    <row r="867" spans="1:8" hidden="1" x14ac:dyDescent="0.3">
      <c r="A867" t="s">
        <v>15</v>
      </c>
      <c r="B867" t="s">
        <v>1140</v>
      </c>
      <c r="C867" t="s">
        <v>1592</v>
      </c>
      <c r="D867" t="s">
        <v>1593</v>
      </c>
      <c r="E867" t="s">
        <v>210</v>
      </c>
      <c r="F867">
        <v>2</v>
      </c>
      <c r="G867">
        <v>1618.75</v>
      </c>
      <c r="H867">
        <v>3237.5</v>
      </c>
    </row>
    <row r="868" spans="1:8" hidden="1" x14ac:dyDescent="0.3">
      <c r="A868" t="s">
        <v>15</v>
      </c>
      <c r="B868" t="s">
        <v>1140</v>
      </c>
      <c r="C868" t="s">
        <v>1594</v>
      </c>
      <c r="D868" t="s">
        <v>1595</v>
      </c>
      <c r="E868" t="s">
        <v>19</v>
      </c>
      <c r="F868">
        <v>1</v>
      </c>
      <c r="G868">
        <v>3677.3580000000002</v>
      </c>
      <c r="H868">
        <v>3677.3584500000002</v>
      </c>
    </row>
    <row r="869" spans="1:8" hidden="1" x14ac:dyDescent="0.3">
      <c r="A869" t="s">
        <v>15</v>
      </c>
      <c r="B869" t="s">
        <v>1140</v>
      </c>
      <c r="C869" t="s">
        <v>1596</v>
      </c>
      <c r="D869" t="s">
        <v>1597</v>
      </c>
      <c r="E869" t="s">
        <v>19</v>
      </c>
      <c r="F869">
        <v>2</v>
      </c>
      <c r="G869">
        <v>1101.431</v>
      </c>
      <c r="H869">
        <v>2202.8613300000002</v>
      </c>
    </row>
    <row r="870" spans="1:8" hidden="1" x14ac:dyDescent="0.3">
      <c r="A870" t="s">
        <v>15</v>
      </c>
      <c r="B870" t="s">
        <v>1140</v>
      </c>
      <c r="C870" t="s">
        <v>1598</v>
      </c>
      <c r="D870" t="s">
        <v>1599</v>
      </c>
      <c r="E870" t="s">
        <v>19</v>
      </c>
      <c r="F870">
        <v>1</v>
      </c>
      <c r="G870">
        <v>1453.2</v>
      </c>
      <c r="H870">
        <v>1453.2</v>
      </c>
    </row>
    <row r="871" spans="1:8" hidden="1" x14ac:dyDescent="0.3">
      <c r="A871" t="s">
        <v>15</v>
      </c>
      <c r="B871" t="s">
        <v>1140</v>
      </c>
      <c r="C871" t="s">
        <v>1600</v>
      </c>
      <c r="D871" t="s">
        <v>1601</v>
      </c>
      <c r="E871" t="s">
        <v>19</v>
      </c>
      <c r="F871">
        <v>1</v>
      </c>
      <c r="G871">
        <v>12210.35</v>
      </c>
      <c r="H871">
        <v>12210.35</v>
      </c>
    </row>
    <row r="872" spans="1:8" hidden="1" x14ac:dyDescent="0.3">
      <c r="A872" t="s">
        <v>15</v>
      </c>
      <c r="B872" t="s">
        <v>1140</v>
      </c>
      <c r="C872" t="s">
        <v>1602</v>
      </c>
      <c r="D872" t="s">
        <v>1603</v>
      </c>
      <c r="E872" t="s">
        <v>19</v>
      </c>
      <c r="F872">
        <v>2</v>
      </c>
      <c r="G872">
        <v>64.5</v>
      </c>
      <c r="H872">
        <v>129</v>
      </c>
    </row>
    <row r="873" spans="1:8" hidden="1" x14ac:dyDescent="0.3">
      <c r="A873" t="s">
        <v>15</v>
      </c>
      <c r="B873" t="s">
        <v>1140</v>
      </c>
      <c r="C873" t="s">
        <v>1604</v>
      </c>
      <c r="D873" t="s">
        <v>1605</v>
      </c>
      <c r="E873" t="s">
        <v>19</v>
      </c>
      <c r="F873">
        <v>1</v>
      </c>
      <c r="G873">
        <v>27123.91</v>
      </c>
      <c r="H873">
        <v>27123.91</v>
      </c>
    </row>
    <row r="874" spans="1:8" hidden="1" x14ac:dyDescent="0.3">
      <c r="A874" t="s">
        <v>15</v>
      </c>
      <c r="B874" t="s">
        <v>1140</v>
      </c>
      <c r="C874" t="s">
        <v>1606</v>
      </c>
      <c r="D874" t="s">
        <v>1607</v>
      </c>
      <c r="E874" t="s">
        <v>19</v>
      </c>
      <c r="F874">
        <v>1</v>
      </c>
      <c r="G874">
        <v>2464</v>
      </c>
      <c r="H874">
        <v>2464</v>
      </c>
    </row>
    <row r="875" spans="1:8" hidden="1" x14ac:dyDescent="0.3">
      <c r="A875" t="s">
        <v>15</v>
      </c>
      <c r="B875" t="s">
        <v>1140</v>
      </c>
      <c r="C875" t="s">
        <v>296</v>
      </c>
      <c r="D875" t="s">
        <v>297</v>
      </c>
      <c r="E875" t="s">
        <v>233</v>
      </c>
      <c r="F875">
        <v>544</v>
      </c>
      <c r="G875">
        <v>238.59866666666599</v>
      </c>
      <c r="H875">
        <v>129794.80648</v>
      </c>
    </row>
    <row r="876" spans="1:8" hidden="1" x14ac:dyDescent="0.3">
      <c r="A876" t="s">
        <v>15</v>
      </c>
      <c r="B876" t="s">
        <v>1140</v>
      </c>
      <c r="C876" t="s">
        <v>1608</v>
      </c>
      <c r="D876" t="s">
        <v>1609</v>
      </c>
      <c r="E876" t="s">
        <v>293</v>
      </c>
      <c r="F876">
        <v>210</v>
      </c>
      <c r="G876">
        <v>165</v>
      </c>
      <c r="H876">
        <v>34650</v>
      </c>
    </row>
    <row r="877" spans="1:8" hidden="1" x14ac:dyDescent="0.3">
      <c r="A877" t="s">
        <v>15</v>
      </c>
      <c r="B877" t="s">
        <v>1140</v>
      </c>
      <c r="C877" t="s">
        <v>300</v>
      </c>
      <c r="D877" t="s">
        <v>301</v>
      </c>
      <c r="E877" t="s">
        <v>293</v>
      </c>
      <c r="F877">
        <v>630</v>
      </c>
      <c r="G877">
        <v>176.660666666666</v>
      </c>
      <c r="H877">
        <v>111296.3334</v>
      </c>
    </row>
    <row r="878" spans="1:8" hidden="1" x14ac:dyDescent="0.3">
      <c r="A878" t="s">
        <v>15</v>
      </c>
      <c r="B878" t="s">
        <v>1140</v>
      </c>
      <c r="C878" t="s">
        <v>1132</v>
      </c>
      <c r="D878" t="s">
        <v>1133</v>
      </c>
      <c r="E878" t="s">
        <v>293</v>
      </c>
      <c r="F878">
        <v>95</v>
      </c>
      <c r="G878">
        <v>101.2440625</v>
      </c>
      <c r="H878">
        <v>9619.6175000000003</v>
      </c>
    </row>
    <row r="879" spans="1:8" hidden="1" x14ac:dyDescent="0.3">
      <c r="A879" t="s">
        <v>15</v>
      </c>
      <c r="B879" t="s">
        <v>1140</v>
      </c>
      <c r="C879" t="s">
        <v>1134</v>
      </c>
      <c r="D879" t="s">
        <v>1135</v>
      </c>
      <c r="E879" t="s">
        <v>233</v>
      </c>
      <c r="F879">
        <v>5</v>
      </c>
      <c r="G879">
        <v>2122.0949999999998</v>
      </c>
      <c r="H879">
        <v>10610.476699999999</v>
      </c>
    </row>
    <row r="880" spans="1:8" hidden="1" x14ac:dyDescent="0.3">
      <c r="A880" t="s">
        <v>15</v>
      </c>
      <c r="B880" t="s">
        <v>1140</v>
      </c>
      <c r="C880" t="s">
        <v>1610</v>
      </c>
      <c r="D880" t="s">
        <v>1611</v>
      </c>
      <c r="E880" t="s">
        <v>293</v>
      </c>
      <c r="F880">
        <v>20</v>
      </c>
      <c r="G880">
        <v>210</v>
      </c>
      <c r="H880">
        <v>4200</v>
      </c>
    </row>
    <row r="881" spans="1:8" hidden="1" x14ac:dyDescent="0.3">
      <c r="A881" t="s">
        <v>15</v>
      </c>
      <c r="B881" t="s">
        <v>1140</v>
      </c>
      <c r="C881" t="s">
        <v>304</v>
      </c>
      <c r="D881" t="s">
        <v>305</v>
      </c>
      <c r="E881" t="s">
        <v>293</v>
      </c>
      <c r="F881">
        <v>209.999</v>
      </c>
      <c r="G881">
        <v>120</v>
      </c>
      <c r="H881">
        <v>25199.88</v>
      </c>
    </row>
    <row r="882" spans="1:8" hidden="1" x14ac:dyDescent="0.3">
      <c r="A882" t="s">
        <v>15</v>
      </c>
      <c r="B882" t="s">
        <v>1140</v>
      </c>
      <c r="C882" t="s">
        <v>1612</v>
      </c>
      <c r="D882" t="s">
        <v>1613</v>
      </c>
      <c r="E882" t="s">
        <v>233</v>
      </c>
      <c r="F882">
        <v>198</v>
      </c>
      <c r="G882">
        <v>380.09249999999997</v>
      </c>
      <c r="H882">
        <v>75243.333159999995</v>
      </c>
    </row>
    <row r="883" spans="1:8" hidden="1" x14ac:dyDescent="0.3">
      <c r="A883" t="s">
        <v>15</v>
      </c>
      <c r="B883" t="s">
        <v>1140</v>
      </c>
      <c r="C883" t="s">
        <v>1614</v>
      </c>
      <c r="D883" t="s">
        <v>1615</v>
      </c>
      <c r="E883" t="s">
        <v>19</v>
      </c>
      <c r="F883">
        <v>1</v>
      </c>
      <c r="G883">
        <v>713</v>
      </c>
      <c r="H883">
        <v>713</v>
      </c>
    </row>
    <row r="884" spans="1:8" hidden="1" x14ac:dyDescent="0.3">
      <c r="A884" t="s">
        <v>15</v>
      </c>
      <c r="B884" t="s">
        <v>1140</v>
      </c>
      <c r="C884" t="s">
        <v>1616</v>
      </c>
      <c r="D884" t="s">
        <v>1617</v>
      </c>
      <c r="E884" t="s">
        <v>19</v>
      </c>
      <c r="F884">
        <v>1</v>
      </c>
      <c r="G884">
        <v>745.55</v>
      </c>
      <c r="H884">
        <v>745.55</v>
      </c>
    </row>
    <row r="885" spans="1:8" hidden="1" x14ac:dyDescent="0.3">
      <c r="A885" t="s">
        <v>15</v>
      </c>
      <c r="B885" t="s">
        <v>1140</v>
      </c>
      <c r="C885" t="s">
        <v>1618</v>
      </c>
      <c r="D885" t="s">
        <v>1619</v>
      </c>
      <c r="E885" t="s">
        <v>19</v>
      </c>
      <c r="F885">
        <v>1</v>
      </c>
      <c r="G885">
        <v>1415410</v>
      </c>
      <c r="H885">
        <v>1415410</v>
      </c>
    </row>
    <row r="886" spans="1:8" x14ac:dyDescent="0.3">
      <c r="A886" t="s">
        <v>15</v>
      </c>
      <c r="B886" t="s">
        <v>1620</v>
      </c>
      <c r="C886" t="s">
        <v>1621</v>
      </c>
      <c r="D886" t="s">
        <v>1622</v>
      </c>
      <c r="E886" t="s">
        <v>830</v>
      </c>
      <c r="F886">
        <v>0.05</v>
      </c>
      <c r="G886">
        <v>107000</v>
      </c>
      <c r="H886">
        <v>5350</v>
      </c>
    </row>
    <row r="887" spans="1:8" x14ac:dyDescent="0.3">
      <c r="A887" t="s">
        <v>15</v>
      </c>
      <c r="B887" t="s">
        <v>1620</v>
      </c>
      <c r="C887" t="s">
        <v>1623</v>
      </c>
      <c r="D887" t="s">
        <v>1624</v>
      </c>
      <c r="E887" t="s">
        <v>830</v>
      </c>
      <c r="F887">
        <v>3.77</v>
      </c>
      <c r="G887">
        <v>337144.99988297798</v>
      </c>
      <c r="H887">
        <v>1271508.9998999999</v>
      </c>
    </row>
    <row r="888" spans="1:8" x14ac:dyDescent="0.3">
      <c r="A888" t="s">
        <v>15</v>
      </c>
      <c r="B888" t="s">
        <v>1620</v>
      </c>
      <c r="C888" t="s">
        <v>1625</v>
      </c>
      <c r="D888" t="s">
        <v>1626</v>
      </c>
      <c r="E888" t="s">
        <v>233</v>
      </c>
      <c r="F888">
        <v>543000</v>
      </c>
      <c r="G888">
        <v>9.5</v>
      </c>
      <c r="H888">
        <v>5158500</v>
      </c>
    </row>
    <row r="889" spans="1:8" x14ac:dyDescent="0.3">
      <c r="A889" t="s">
        <v>15</v>
      </c>
      <c r="B889" t="s">
        <v>1620</v>
      </c>
      <c r="C889" t="s">
        <v>921</v>
      </c>
      <c r="D889" t="s">
        <v>922</v>
      </c>
      <c r="E889" t="s">
        <v>293</v>
      </c>
      <c r="F889">
        <v>20</v>
      </c>
      <c r="G889">
        <v>171.61500000000001</v>
      </c>
      <c r="H889">
        <v>3432.2928000000002</v>
      </c>
    </row>
    <row r="890" spans="1:8" x14ac:dyDescent="0.3">
      <c r="A890" t="s">
        <v>15</v>
      </c>
      <c r="B890" t="s">
        <v>1620</v>
      </c>
      <c r="C890" t="s">
        <v>395</v>
      </c>
      <c r="D890" t="s">
        <v>396</v>
      </c>
      <c r="E890" t="s">
        <v>19</v>
      </c>
      <c r="F890">
        <v>4</v>
      </c>
      <c r="G890">
        <v>41.962000000000003</v>
      </c>
      <c r="H890">
        <v>167.84652</v>
      </c>
    </row>
    <row r="891" spans="1:8" x14ac:dyDescent="0.3">
      <c r="A891" t="s">
        <v>15</v>
      </c>
      <c r="B891" t="s">
        <v>1620</v>
      </c>
      <c r="C891" t="s">
        <v>1627</v>
      </c>
      <c r="D891" t="s">
        <v>1628</v>
      </c>
      <c r="E891" t="s">
        <v>193</v>
      </c>
      <c r="F891">
        <v>6</v>
      </c>
      <c r="G891">
        <v>16563.883999999998</v>
      </c>
      <c r="H891">
        <v>99383.305259999994</v>
      </c>
    </row>
    <row r="892" spans="1:8" x14ac:dyDescent="0.3">
      <c r="A892" t="s">
        <v>15</v>
      </c>
      <c r="B892" t="s">
        <v>1620</v>
      </c>
      <c r="C892" t="s">
        <v>960</v>
      </c>
      <c r="D892" t="s">
        <v>961</v>
      </c>
      <c r="E892" t="s">
        <v>293</v>
      </c>
      <c r="F892">
        <v>20</v>
      </c>
      <c r="G892">
        <v>116.697</v>
      </c>
      <c r="H892">
        <v>2333.9344000000001</v>
      </c>
    </row>
    <row r="893" spans="1:8" x14ac:dyDescent="0.3">
      <c r="A893" t="s">
        <v>15</v>
      </c>
      <c r="B893" t="s">
        <v>1620</v>
      </c>
      <c r="C893" t="s">
        <v>962</v>
      </c>
      <c r="D893" t="s">
        <v>963</v>
      </c>
      <c r="E893" t="s">
        <v>293</v>
      </c>
      <c r="F893">
        <v>40</v>
      </c>
      <c r="G893">
        <v>178.512</v>
      </c>
      <c r="H893">
        <v>7140.4787999999999</v>
      </c>
    </row>
    <row r="894" spans="1:8" x14ac:dyDescent="0.3">
      <c r="A894" t="s">
        <v>15</v>
      </c>
      <c r="B894" t="s">
        <v>1620</v>
      </c>
      <c r="C894" t="s">
        <v>1629</v>
      </c>
      <c r="D894" t="s">
        <v>1630</v>
      </c>
      <c r="E894" t="s">
        <v>19</v>
      </c>
      <c r="F894">
        <v>1</v>
      </c>
      <c r="G894">
        <v>846.92499999999995</v>
      </c>
      <c r="H894">
        <v>846.92499999999995</v>
      </c>
    </row>
    <row r="895" spans="1:8" x14ac:dyDescent="0.3">
      <c r="A895" t="s">
        <v>15</v>
      </c>
      <c r="B895" t="s">
        <v>1620</v>
      </c>
      <c r="C895" t="s">
        <v>1631</v>
      </c>
      <c r="D895" t="s">
        <v>1632</v>
      </c>
      <c r="E895" t="s">
        <v>19</v>
      </c>
      <c r="F895">
        <v>6</v>
      </c>
      <c r="G895">
        <v>1078.1110000000001</v>
      </c>
      <c r="H895">
        <v>6468.6666599999999</v>
      </c>
    </row>
    <row r="896" spans="1:8" x14ac:dyDescent="0.3">
      <c r="A896" t="s">
        <v>15</v>
      </c>
      <c r="B896" t="s">
        <v>1620</v>
      </c>
      <c r="C896" t="s">
        <v>1402</v>
      </c>
      <c r="D896" t="s">
        <v>1403</v>
      </c>
      <c r="E896" t="s">
        <v>323</v>
      </c>
      <c r="F896">
        <v>275</v>
      </c>
      <c r="G896">
        <v>56.483037037037001</v>
      </c>
      <c r="H896">
        <v>15535.419250000001</v>
      </c>
    </row>
    <row r="897" spans="1:8" x14ac:dyDescent="0.3">
      <c r="A897" t="s">
        <v>15</v>
      </c>
      <c r="B897" t="s">
        <v>1620</v>
      </c>
      <c r="C897" t="s">
        <v>759</v>
      </c>
      <c r="D897" t="s">
        <v>760</v>
      </c>
      <c r="E897" t="s">
        <v>323</v>
      </c>
      <c r="F897">
        <v>18</v>
      </c>
      <c r="G897">
        <v>10.955399999999999</v>
      </c>
      <c r="H897">
        <v>197.15333999999999</v>
      </c>
    </row>
    <row r="898" spans="1:8" x14ac:dyDescent="0.3">
      <c r="A898" t="s">
        <v>15</v>
      </c>
      <c r="B898" t="s">
        <v>1620</v>
      </c>
      <c r="C898" t="s">
        <v>1404</v>
      </c>
      <c r="D898" t="s">
        <v>1405</v>
      </c>
      <c r="E898" t="s">
        <v>19</v>
      </c>
      <c r="F898">
        <v>311</v>
      </c>
      <c r="G898">
        <v>2.1444999999999999</v>
      </c>
      <c r="H898">
        <v>666.60037</v>
      </c>
    </row>
    <row r="899" spans="1:8" x14ac:dyDescent="0.3">
      <c r="A899" t="s">
        <v>15</v>
      </c>
      <c r="B899" t="s">
        <v>1620</v>
      </c>
      <c r="C899" t="s">
        <v>311</v>
      </c>
      <c r="D899" t="s">
        <v>312</v>
      </c>
      <c r="E899" t="s">
        <v>19</v>
      </c>
      <c r="F899">
        <v>14</v>
      </c>
      <c r="G899">
        <v>39.58</v>
      </c>
      <c r="H899">
        <v>554.12</v>
      </c>
    </row>
    <row r="900" spans="1:8" x14ac:dyDescent="0.3">
      <c r="A900" t="s">
        <v>15</v>
      </c>
      <c r="B900" t="s">
        <v>1620</v>
      </c>
      <c r="C900" t="s">
        <v>1633</v>
      </c>
      <c r="D900" t="s">
        <v>1634</v>
      </c>
      <c r="E900" t="s">
        <v>19</v>
      </c>
      <c r="F900">
        <v>1</v>
      </c>
      <c r="G900">
        <v>667.5</v>
      </c>
      <c r="H900">
        <v>667.5</v>
      </c>
    </row>
    <row r="901" spans="1:8" x14ac:dyDescent="0.3">
      <c r="A901" t="s">
        <v>15</v>
      </c>
      <c r="B901" t="s">
        <v>1620</v>
      </c>
      <c r="C901" t="s">
        <v>1635</v>
      </c>
      <c r="D901" t="s">
        <v>1636</v>
      </c>
      <c r="E901" t="s">
        <v>19</v>
      </c>
      <c r="F901">
        <v>5</v>
      </c>
      <c r="G901">
        <v>570.86633333333305</v>
      </c>
      <c r="H901">
        <v>2875.1985</v>
      </c>
    </row>
    <row r="902" spans="1:8" x14ac:dyDescent="0.3">
      <c r="A902" t="s">
        <v>15</v>
      </c>
      <c r="B902" t="s">
        <v>1620</v>
      </c>
      <c r="C902" t="s">
        <v>1637</v>
      </c>
      <c r="D902" t="s">
        <v>1638</v>
      </c>
      <c r="E902" t="s">
        <v>233</v>
      </c>
      <c r="F902">
        <v>905</v>
      </c>
      <c r="G902">
        <v>28.509806451612899</v>
      </c>
      <c r="H902">
        <v>25804.999950000001</v>
      </c>
    </row>
    <row r="903" spans="1:8" x14ac:dyDescent="0.3">
      <c r="A903" t="s">
        <v>15</v>
      </c>
      <c r="B903" t="s">
        <v>1620</v>
      </c>
      <c r="C903" t="s">
        <v>261</v>
      </c>
      <c r="D903" t="s">
        <v>262</v>
      </c>
      <c r="E903" t="s">
        <v>19</v>
      </c>
      <c r="F903">
        <v>2</v>
      </c>
      <c r="G903">
        <v>7.5039999999999996</v>
      </c>
      <c r="H903">
        <v>15.007</v>
      </c>
    </row>
    <row r="904" spans="1:8" x14ac:dyDescent="0.3">
      <c r="A904" t="s">
        <v>15</v>
      </c>
      <c r="B904" t="s">
        <v>1620</v>
      </c>
      <c r="C904" t="s">
        <v>1639</v>
      </c>
      <c r="D904" t="s">
        <v>1640</v>
      </c>
      <c r="E904" t="s">
        <v>233</v>
      </c>
      <c r="F904">
        <v>14</v>
      </c>
      <c r="G904">
        <v>149.071</v>
      </c>
      <c r="H904">
        <v>2086.9914800000001</v>
      </c>
    </row>
    <row r="905" spans="1:8" x14ac:dyDescent="0.3">
      <c r="A905" t="s">
        <v>15</v>
      </c>
      <c r="B905" t="s">
        <v>1620</v>
      </c>
      <c r="C905" t="s">
        <v>1641</v>
      </c>
      <c r="D905" t="s">
        <v>1642</v>
      </c>
      <c r="E905" t="s">
        <v>193</v>
      </c>
      <c r="F905">
        <v>20</v>
      </c>
      <c r="G905">
        <v>26.18</v>
      </c>
      <c r="H905">
        <v>335.89627999999999</v>
      </c>
    </row>
    <row r="906" spans="1:8" x14ac:dyDescent="0.3">
      <c r="A906" t="s">
        <v>15</v>
      </c>
      <c r="B906" t="s">
        <v>1620</v>
      </c>
      <c r="C906" t="s">
        <v>769</v>
      </c>
      <c r="D906" t="s">
        <v>770</v>
      </c>
      <c r="E906" t="s">
        <v>19</v>
      </c>
      <c r="F906">
        <v>19</v>
      </c>
      <c r="G906">
        <v>22</v>
      </c>
      <c r="H906">
        <v>418</v>
      </c>
    </row>
    <row r="907" spans="1:8" x14ac:dyDescent="0.3">
      <c r="A907" t="s">
        <v>15</v>
      </c>
      <c r="B907" t="s">
        <v>1620</v>
      </c>
      <c r="C907" t="s">
        <v>263</v>
      </c>
      <c r="D907" t="s">
        <v>264</v>
      </c>
      <c r="E907" t="s">
        <v>233</v>
      </c>
      <c r="F907">
        <v>10</v>
      </c>
      <c r="G907">
        <v>22</v>
      </c>
      <c r="H907">
        <v>220.00002000000001</v>
      </c>
    </row>
    <row r="908" spans="1:8" x14ac:dyDescent="0.3">
      <c r="A908" t="s">
        <v>15</v>
      </c>
      <c r="B908" t="s">
        <v>1620</v>
      </c>
      <c r="C908" t="s">
        <v>1522</v>
      </c>
      <c r="D908" t="s">
        <v>1523</v>
      </c>
      <c r="E908" t="s">
        <v>19</v>
      </c>
      <c r="F908">
        <v>16</v>
      </c>
      <c r="G908">
        <v>2423.5471250000001</v>
      </c>
      <c r="H908">
        <v>38776.751689999997</v>
      </c>
    </row>
    <row r="909" spans="1:8" x14ac:dyDescent="0.3">
      <c r="A909" t="s">
        <v>15</v>
      </c>
      <c r="B909" t="s">
        <v>1620</v>
      </c>
      <c r="C909" t="s">
        <v>1645</v>
      </c>
      <c r="D909" t="s">
        <v>1646</v>
      </c>
      <c r="E909" t="s">
        <v>233</v>
      </c>
      <c r="F909">
        <v>29600</v>
      </c>
      <c r="G909">
        <v>58.282850000000003</v>
      </c>
      <c r="H909">
        <v>1725177.9543999999</v>
      </c>
    </row>
    <row r="910" spans="1:8" x14ac:dyDescent="0.3">
      <c r="A910" t="s">
        <v>15</v>
      </c>
      <c r="B910" t="s">
        <v>1620</v>
      </c>
      <c r="C910" t="s">
        <v>1647</v>
      </c>
      <c r="D910" t="s">
        <v>1648</v>
      </c>
      <c r="E910" t="s">
        <v>233</v>
      </c>
      <c r="F910">
        <v>46</v>
      </c>
      <c r="G910">
        <v>55.4</v>
      </c>
      <c r="H910">
        <v>2548.4</v>
      </c>
    </row>
    <row r="911" spans="1:8" x14ac:dyDescent="0.3">
      <c r="A911" t="s">
        <v>15</v>
      </c>
      <c r="B911" t="s">
        <v>1620</v>
      </c>
      <c r="C911" t="s">
        <v>1649</v>
      </c>
      <c r="D911" t="s">
        <v>1650</v>
      </c>
      <c r="E911" t="s">
        <v>233</v>
      </c>
      <c r="F911">
        <v>16850</v>
      </c>
      <c r="G911">
        <v>15</v>
      </c>
      <c r="H911">
        <v>252750</v>
      </c>
    </row>
    <row r="912" spans="1:8" x14ac:dyDescent="0.3">
      <c r="A912" t="s">
        <v>15</v>
      </c>
      <c r="B912" t="s">
        <v>1620</v>
      </c>
      <c r="C912" t="s">
        <v>1651</v>
      </c>
      <c r="D912" t="s">
        <v>1652</v>
      </c>
      <c r="E912" t="s">
        <v>19</v>
      </c>
      <c r="F912">
        <v>4664</v>
      </c>
      <c r="G912">
        <v>29.214466666666599</v>
      </c>
      <c r="H912">
        <v>136274.91063999999</v>
      </c>
    </row>
    <row r="913" spans="1:8" x14ac:dyDescent="0.3">
      <c r="A913" t="s">
        <v>15</v>
      </c>
      <c r="B913" t="s">
        <v>1620</v>
      </c>
      <c r="C913" t="s">
        <v>1653</v>
      </c>
      <c r="D913" t="s">
        <v>1654</v>
      </c>
      <c r="E913" t="s">
        <v>19</v>
      </c>
      <c r="F913">
        <v>1</v>
      </c>
      <c r="G913">
        <v>17061.066999999999</v>
      </c>
      <c r="H913">
        <v>17061.06666</v>
      </c>
    </row>
    <row r="914" spans="1:8" x14ac:dyDescent="0.3">
      <c r="A914" t="s">
        <v>15</v>
      </c>
      <c r="B914" t="s">
        <v>1620</v>
      </c>
      <c r="C914" t="s">
        <v>1088</v>
      </c>
      <c r="D914" t="s">
        <v>1089</v>
      </c>
      <c r="E914" t="s">
        <v>19</v>
      </c>
      <c r="F914">
        <v>16</v>
      </c>
      <c r="G914">
        <v>215.54572727272699</v>
      </c>
      <c r="H914">
        <v>3420.3686200000002</v>
      </c>
    </row>
    <row r="915" spans="1:8" x14ac:dyDescent="0.3">
      <c r="A915" t="s">
        <v>15</v>
      </c>
      <c r="B915" t="s">
        <v>1620</v>
      </c>
      <c r="C915" t="s">
        <v>1655</v>
      </c>
      <c r="D915" t="s">
        <v>1656</v>
      </c>
      <c r="E915" t="s">
        <v>19</v>
      </c>
      <c r="F915">
        <v>5025</v>
      </c>
      <c r="G915">
        <v>32.699226666666597</v>
      </c>
      <c r="H915">
        <v>164313.815</v>
      </c>
    </row>
    <row r="916" spans="1:8" x14ac:dyDescent="0.3">
      <c r="A916" t="s">
        <v>15</v>
      </c>
      <c r="B916" t="s">
        <v>1620</v>
      </c>
      <c r="C916" t="s">
        <v>1657</v>
      </c>
      <c r="D916" t="s">
        <v>1658</v>
      </c>
      <c r="E916" t="s">
        <v>1659</v>
      </c>
      <c r="F916">
        <v>56</v>
      </c>
      <c r="G916">
        <v>225.608</v>
      </c>
      <c r="H916">
        <v>12634.06984</v>
      </c>
    </row>
    <row r="917" spans="1:8" x14ac:dyDescent="0.3">
      <c r="A917" t="s">
        <v>15</v>
      </c>
      <c r="B917" t="s">
        <v>1620</v>
      </c>
      <c r="C917" t="s">
        <v>1660</v>
      </c>
      <c r="D917" t="s">
        <v>1661</v>
      </c>
      <c r="E917" t="s">
        <v>1662</v>
      </c>
      <c r="F917">
        <v>5</v>
      </c>
      <c r="G917">
        <v>559.6</v>
      </c>
      <c r="H917">
        <v>2798</v>
      </c>
    </row>
    <row r="918" spans="1:8" x14ac:dyDescent="0.3">
      <c r="A918" t="s">
        <v>15</v>
      </c>
      <c r="B918" t="s">
        <v>1620</v>
      </c>
      <c r="C918" t="s">
        <v>1132</v>
      </c>
      <c r="D918" t="s">
        <v>1133</v>
      </c>
      <c r="E918" t="s">
        <v>293</v>
      </c>
      <c r="F918">
        <v>16231.47</v>
      </c>
      <c r="G918">
        <v>101.00304411764699</v>
      </c>
      <c r="H918" s="8">
        <v>1633488.55146</v>
      </c>
    </row>
    <row r="919" spans="1:8" x14ac:dyDescent="0.3">
      <c r="A919" t="s">
        <v>15</v>
      </c>
      <c r="B919" t="s">
        <v>1620</v>
      </c>
      <c r="C919" t="s">
        <v>1663</v>
      </c>
      <c r="D919" t="s">
        <v>1664</v>
      </c>
      <c r="E919" t="s">
        <v>830</v>
      </c>
      <c r="F919">
        <v>1.4750000000000001</v>
      </c>
      <c r="G919">
        <v>24586.271000000001</v>
      </c>
      <c r="H919">
        <v>36264.750010000003</v>
      </c>
    </row>
    <row r="920" spans="1:8" x14ac:dyDescent="0.3">
      <c r="A920" t="s">
        <v>15</v>
      </c>
      <c r="B920" t="s">
        <v>1620</v>
      </c>
      <c r="C920" t="s">
        <v>1665</v>
      </c>
      <c r="D920" t="s">
        <v>1666</v>
      </c>
      <c r="E920" t="s">
        <v>233</v>
      </c>
      <c r="F920">
        <v>95600</v>
      </c>
      <c r="G920">
        <v>3.8</v>
      </c>
      <c r="H920">
        <v>363280</v>
      </c>
    </row>
    <row r="921" spans="1:8" x14ac:dyDescent="0.3">
      <c r="A921" t="s">
        <v>15</v>
      </c>
      <c r="B921" t="s">
        <v>1620</v>
      </c>
      <c r="C921" t="s">
        <v>1667</v>
      </c>
      <c r="D921" t="s">
        <v>1668</v>
      </c>
      <c r="E921" t="s">
        <v>233</v>
      </c>
      <c r="F921">
        <v>4550</v>
      </c>
      <c r="G921">
        <v>96.5</v>
      </c>
      <c r="H921">
        <v>439075</v>
      </c>
    </row>
    <row r="922" spans="1:8" x14ac:dyDescent="0.3">
      <c r="A922" t="s">
        <v>15</v>
      </c>
      <c r="B922" t="s">
        <v>1620</v>
      </c>
      <c r="C922" t="s">
        <v>1669</v>
      </c>
      <c r="D922" t="s">
        <v>1670</v>
      </c>
      <c r="E922" t="s">
        <v>233</v>
      </c>
      <c r="F922">
        <v>113900</v>
      </c>
      <c r="G922">
        <v>10.5</v>
      </c>
      <c r="H922">
        <v>1195950</v>
      </c>
    </row>
    <row r="923" spans="1:8" x14ac:dyDescent="0.3">
      <c r="A923" t="s">
        <v>15</v>
      </c>
      <c r="B923" t="s">
        <v>1620</v>
      </c>
      <c r="C923" t="s">
        <v>1671</v>
      </c>
      <c r="D923" t="s">
        <v>1672</v>
      </c>
      <c r="E923" t="s">
        <v>233</v>
      </c>
      <c r="F923">
        <v>1550</v>
      </c>
      <c r="G923">
        <v>14</v>
      </c>
      <c r="H923">
        <v>21700</v>
      </c>
    </row>
    <row r="924" spans="1:8" x14ac:dyDescent="0.3">
      <c r="A924" t="s">
        <v>15</v>
      </c>
      <c r="B924" t="s">
        <v>1620</v>
      </c>
      <c r="C924" t="s">
        <v>1673</v>
      </c>
      <c r="D924" t="s">
        <v>1674</v>
      </c>
      <c r="E924" t="s">
        <v>233</v>
      </c>
      <c r="F924">
        <v>500</v>
      </c>
      <c r="G924">
        <v>200.75</v>
      </c>
      <c r="H924">
        <v>100550</v>
      </c>
    </row>
    <row r="925" spans="1:8" x14ac:dyDescent="0.3">
      <c r="A925" t="s">
        <v>15</v>
      </c>
      <c r="B925" t="s">
        <v>1620</v>
      </c>
      <c r="C925" t="s">
        <v>1675</v>
      </c>
      <c r="D925" t="s">
        <v>1676</v>
      </c>
      <c r="E925" t="s">
        <v>233</v>
      </c>
      <c r="F925">
        <v>1450</v>
      </c>
      <c r="G925">
        <v>207.828</v>
      </c>
      <c r="H925">
        <v>301350.00550000003</v>
      </c>
    </row>
    <row r="926" spans="1:8" x14ac:dyDescent="0.3">
      <c r="A926" t="s">
        <v>15</v>
      </c>
      <c r="B926" t="s">
        <v>1620</v>
      </c>
      <c r="C926" t="s">
        <v>1677</v>
      </c>
      <c r="D926" t="s">
        <v>1678</v>
      </c>
      <c r="E926" t="s">
        <v>19</v>
      </c>
      <c r="F926">
        <v>4250</v>
      </c>
      <c r="G926">
        <v>10.6993846153846</v>
      </c>
      <c r="H926">
        <v>45495.832000000002</v>
      </c>
    </row>
    <row r="927" spans="1:8" x14ac:dyDescent="0.3">
      <c r="A927" t="s">
        <v>15</v>
      </c>
      <c r="B927" t="s">
        <v>1620</v>
      </c>
      <c r="C927" t="s">
        <v>1679</v>
      </c>
      <c r="D927" t="s">
        <v>1680</v>
      </c>
      <c r="E927" t="s">
        <v>533</v>
      </c>
      <c r="F927">
        <v>2</v>
      </c>
      <c r="G927">
        <v>131</v>
      </c>
      <c r="H927">
        <v>262</v>
      </c>
    </row>
    <row r="928" spans="1:8" hidden="1" x14ac:dyDescent="0.3">
      <c r="A928" t="s">
        <v>15</v>
      </c>
      <c r="B928" t="s">
        <v>1681</v>
      </c>
      <c r="C928" t="s">
        <v>1621</v>
      </c>
      <c r="D928" t="s">
        <v>1622</v>
      </c>
      <c r="E928" t="s">
        <v>830</v>
      </c>
      <c r="F928">
        <v>0.03</v>
      </c>
      <c r="G928">
        <v>107000</v>
      </c>
      <c r="H928">
        <v>3210</v>
      </c>
    </row>
    <row r="929" spans="1:8" hidden="1" x14ac:dyDescent="0.3">
      <c r="A929" t="s">
        <v>15</v>
      </c>
      <c r="B929" t="s">
        <v>1681</v>
      </c>
      <c r="C929" t="s">
        <v>835</v>
      </c>
      <c r="D929" t="s">
        <v>836</v>
      </c>
      <c r="E929" t="s">
        <v>19</v>
      </c>
      <c r="F929">
        <v>10</v>
      </c>
      <c r="G929">
        <v>172.8</v>
      </c>
      <c r="H929">
        <v>1728</v>
      </c>
    </row>
    <row r="930" spans="1:8" hidden="1" x14ac:dyDescent="0.3">
      <c r="A930" t="s">
        <v>15</v>
      </c>
      <c r="B930" t="s">
        <v>1681</v>
      </c>
      <c r="C930" t="s">
        <v>1682</v>
      </c>
      <c r="D930" t="s">
        <v>1683</v>
      </c>
      <c r="E930" t="s">
        <v>19</v>
      </c>
      <c r="F930">
        <v>4</v>
      </c>
      <c r="G930">
        <v>146546.76225</v>
      </c>
      <c r="H930">
        <v>586187.04902999999</v>
      </c>
    </row>
    <row r="931" spans="1:8" hidden="1" x14ac:dyDescent="0.3">
      <c r="A931" t="s">
        <v>15</v>
      </c>
      <c r="B931" t="s">
        <v>1681</v>
      </c>
      <c r="C931" t="s">
        <v>1684</v>
      </c>
      <c r="D931" t="s">
        <v>1685</v>
      </c>
      <c r="E931" t="s">
        <v>19</v>
      </c>
      <c r="F931">
        <v>5</v>
      </c>
      <c r="G931">
        <v>93891.077399999995</v>
      </c>
      <c r="H931">
        <v>469455.38922999997</v>
      </c>
    </row>
    <row r="932" spans="1:8" hidden="1" x14ac:dyDescent="0.3">
      <c r="A932" t="s">
        <v>15</v>
      </c>
      <c r="B932" t="s">
        <v>1681</v>
      </c>
      <c r="C932" t="s">
        <v>1686</v>
      </c>
      <c r="D932" t="s">
        <v>1687</v>
      </c>
      <c r="E932" t="s">
        <v>19</v>
      </c>
      <c r="F932">
        <v>1715</v>
      </c>
      <c r="G932">
        <v>249.904454545454</v>
      </c>
      <c r="H932">
        <v>428242.40824999998</v>
      </c>
    </row>
    <row r="933" spans="1:8" hidden="1" x14ac:dyDescent="0.3">
      <c r="A933" t="s">
        <v>15</v>
      </c>
      <c r="B933" t="s">
        <v>1681</v>
      </c>
      <c r="C933" t="s">
        <v>1625</v>
      </c>
      <c r="D933" t="s">
        <v>1626</v>
      </c>
      <c r="E933" t="s">
        <v>233</v>
      </c>
      <c r="F933">
        <v>78700</v>
      </c>
      <c r="G933">
        <v>9.5</v>
      </c>
      <c r="H933">
        <v>747650</v>
      </c>
    </row>
    <row r="934" spans="1:8" hidden="1" x14ac:dyDescent="0.3">
      <c r="A934" t="s">
        <v>15</v>
      </c>
      <c r="B934" t="s">
        <v>1681</v>
      </c>
      <c r="C934" t="s">
        <v>1688</v>
      </c>
      <c r="D934" t="s">
        <v>1689</v>
      </c>
      <c r="E934" t="s">
        <v>19</v>
      </c>
      <c r="F934">
        <v>1553</v>
      </c>
      <c r="G934">
        <v>249.184716981132</v>
      </c>
      <c r="H934">
        <v>387024.62147000001</v>
      </c>
    </row>
    <row r="935" spans="1:8" hidden="1" x14ac:dyDescent="0.3">
      <c r="A935" t="s">
        <v>15</v>
      </c>
      <c r="B935" t="s">
        <v>1681</v>
      </c>
      <c r="C935" t="s">
        <v>1690</v>
      </c>
      <c r="D935" t="s">
        <v>1691</v>
      </c>
      <c r="E935" t="s">
        <v>233</v>
      </c>
      <c r="F935">
        <v>5370</v>
      </c>
      <c r="G935">
        <v>55</v>
      </c>
      <c r="H935">
        <v>295350</v>
      </c>
    </row>
    <row r="936" spans="1:8" hidden="1" x14ac:dyDescent="0.3">
      <c r="A936" t="s">
        <v>15</v>
      </c>
      <c r="B936" t="s">
        <v>1681</v>
      </c>
      <c r="C936" t="s">
        <v>923</v>
      </c>
      <c r="D936" t="s">
        <v>924</v>
      </c>
      <c r="E936" t="s">
        <v>19</v>
      </c>
      <c r="F936">
        <v>4</v>
      </c>
      <c r="G936">
        <v>135.65700000000001</v>
      </c>
      <c r="H936">
        <v>542.62783999999999</v>
      </c>
    </row>
    <row r="937" spans="1:8" hidden="1" x14ac:dyDescent="0.3">
      <c r="A937" t="s">
        <v>15</v>
      </c>
      <c r="B937" t="s">
        <v>1681</v>
      </c>
      <c r="C937" t="s">
        <v>1301</v>
      </c>
      <c r="D937" t="s">
        <v>1302</v>
      </c>
      <c r="E937" t="s">
        <v>293</v>
      </c>
      <c r="F937">
        <v>20</v>
      </c>
      <c r="G937">
        <v>92.38</v>
      </c>
      <c r="H937">
        <v>1847.5952</v>
      </c>
    </row>
    <row r="938" spans="1:8" hidden="1" x14ac:dyDescent="0.3">
      <c r="A938" t="s">
        <v>15</v>
      </c>
      <c r="B938" t="s">
        <v>1681</v>
      </c>
      <c r="C938" t="s">
        <v>925</v>
      </c>
      <c r="D938" t="s">
        <v>926</v>
      </c>
      <c r="E938" t="s">
        <v>293</v>
      </c>
      <c r="F938">
        <v>20</v>
      </c>
      <c r="G938">
        <v>167.80799999999999</v>
      </c>
      <c r="H938">
        <v>3356.1606000000002</v>
      </c>
    </row>
    <row r="939" spans="1:8" hidden="1" x14ac:dyDescent="0.3">
      <c r="A939" t="s">
        <v>15</v>
      </c>
      <c r="B939" t="s">
        <v>1681</v>
      </c>
      <c r="C939" t="s">
        <v>1692</v>
      </c>
      <c r="D939" t="s">
        <v>1693</v>
      </c>
      <c r="E939" t="s">
        <v>193</v>
      </c>
      <c r="F939">
        <v>7320</v>
      </c>
      <c r="G939">
        <v>32</v>
      </c>
      <c r="H939">
        <v>234240</v>
      </c>
    </row>
    <row r="940" spans="1:8" hidden="1" x14ac:dyDescent="0.3">
      <c r="A940" t="s">
        <v>15</v>
      </c>
      <c r="B940" t="s">
        <v>1681</v>
      </c>
      <c r="C940" t="s">
        <v>1694</v>
      </c>
      <c r="D940" t="s">
        <v>1695</v>
      </c>
      <c r="E940" t="s">
        <v>193</v>
      </c>
      <c r="F940">
        <v>3610</v>
      </c>
      <c r="G940">
        <v>13.4609375</v>
      </c>
      <c r="H940">
        <v>48480</v>
      </c>
    </row>
    <row r="941" spans="1:8" hidden="1" x14ac:dyDescent="0.3">
      <c r="A941" t="s">
        <v>15</v>
      </c>
      <c r="B941" t="s">
        <v>1681</v>
      </c>
      <c r="C941" t="s">
        <v>1696</v>
      </c>
      <c r="D941" t="s">
        <v>1697</v>
      </c>
      <c r="E941" t="s">
        <v>193</v>
      </c>
      <c r="F941">
        <v>50</v>
      </c>
      <c r="G941">
        <v>1379</v>
      </c>
      <c r="H941">
        <v>68950</v>
      </c>
    </row>
    <row r="942" spans="1:8" hidden="1" x14ac:dyDescent="0.3">
      <c r="A942" t="s">
        <v>15</v>
      </c>
      <c r="B942" t="s">
        <v>1681</v>
      </c>
      <c r="C942" t="s">
        <v>960</v>
      </c>
      <c r="D942" t="s">
        <v>961</v>
      </c>
      <c r="E942" t="s">
        <v>293</v>
      </c>
      <c r="F942">
        <v>60</v>
      </c>
      <c r="G942">
        <v>116.5485</v>
      </c>
      <c r="H942">
        <v>6995.8688000000002</v>
      </c>
    </row>
    <row r="943" spans="1:8" hidden="1" x14ac:dyDescent="0.3">
      <c r="A943" t="s">
        <v>15</v>
      </c>
      <c r="B943" t="s">
        <v>1681</v>
      </c>
      <c r="C943" t="s">
        <v>984</v>
      </c>
      <c r="D943" t="s">
        <v>985</v>
      </c>
      <c r="E943" t="s">
        <v>19</v>
      </c>
      <c r="F943">
        <v>2</v>
      </c>
      <c r="G943">
        <v>71.370999999999995</v>
      </c>
      <c r="H943">
        <v>142.74184</v>
      </c>
    </row>
    <row r="944" spans="1:8" hidden="1" x14ac:dyDescent="0.3">
      <c r="A944" t="s">
        <v>15</v>
      </c>
      <c r="B944" t="s">
        <v>1681</v>
      </c>
      <c r="C944" t="s">
        <v>1698</v>
      </c>
      <c r="D944" t="s">
        <v>1699</v>
      </c>
      <c r="E944" t="s">
        <v>233</v>
      </c>
      <c r="F944">
        <v>600</v>
      </c>
      <c r="G944">
        <v>394.33674999999999</v>
      </c>
      <c r="H944">
        <v>235113.21400000001</v>
      </c>
    </row>
    <row r="945" spans="1:8" hidden="1" x14ac:dyDescent="0.3">
      <c r="A945" t="s">
        <v>15</v>
      </c>
      <c r="B945" t="s">
        <v>1681</v>
      </c>
      <c r="C945" t="s">
        <v>1402</v>
      </c>
      <c r="D945" t="s">
        <v>1403</v>
      </c>
      <c r="E945" t="s">
        <v>323</v>
      </c>
      <c r="F945">
        <v>626</v>
      </c>
      <c r="G945">
        <v>56.496581395348798</v>
      </c>
      <c r="H945">
        <v>35361.826650000003</v>
      </c>
    </row>
    <row r="946" spans="1:8" hidden="1" x14ac:dyDescent="0.3">
      <c r="A946" t="s">
        <v>15</v>
      </c>
      <c r="B946" t="s">
        <v>1681</v>
      </c>
      <c r="C946" t="s">
        <v>1700</v>
      </c>
      <c r="D946" t="s">
        <v>1701</v>
      </c>
      <c r="E946" t="s">
        <v>19</v>
      </c>
      <c r="F946">
        <v>2</v>
      </c>
      <c r="G946">
        <v>140.59299999999999</v>
      </c>
      <c r="H946">
        <v>281.18644</v>
      </c>
    </row>
    <row r="947" spans="1:8" hidden="1" x14ac:dyDescent="0.3">
      <c r="A947" t="s">
        <v>15</v>
      </c>
      <c r="B947" t="s">
        <v>1681</v>
      </c>
      <c r="C947" t="s">
        <v>759</v>
      </c>
      <c r="D947" t="s">
        <v>760</v>
      </c>
      <c r="E947" t="s">
        <v>323</v>
      </c>
      <c r="F947">
        <v>300</v>
      </c>
      <c r="G947">
        <v>10.9334285714285</v>
      </c>
      <c r="H947">
        <v>3290.6504500000001</v>
      </c>
    </row>
    <row r="948" spans="1:8" hidden="1" x14ac:dyDescent="0.3">
      <c r="A948" t="s">
        <v>15</v>
      </c>
      <c r="B948" t="s">
        <v>1681</v>
      </c>
      <c r="C948" t="s">
        <v>1406</v>
      </c>
      <c r="D948" t="s">
        <v>1407</v>
      </c>
      <c r="E948" t="s">
        <v>323</v>
      </c>
      <c r="F948">
        <v>3</v>
      </c>
      <c r="G948">
        <v>66.875</v>
      </c>
      <c r="H948">
        <v>201.65</v>
      </c>
    </row>
    <row r="949" spans="1:8" hidden="1" x14ac:dyDescent="0.3">
      <c r="A949" t="s">
        <v>15</v>
      </c>
      <c r="B949" t="s">
        <v>1681</v>
      </c>
      <c r="C949" t="s">
        <v>1702</v>
      </c>
      <c r="D949" t="s">
        <v>1703</v>
      </c>
      <c r="E949" t="s">
        <v>323</v>
      </c>
      <c r="F949">
        <v>8</v>
      </c>
      <c r="G949">
        <v>316.83800000000002</v>
      </c>
      <c r="H949">
        <v>2534.70208</v>
      </c>
    </row>
    <row r="950" spans="1:8" hidden="1" x14ac:dyDescent="0.3">
      <c r="A950" t="s">
        <v>15</v>
      </c>
      <c r="B950" t="s">
        <v>1681</v>
      </c>
      <c r="C950" t="s">
        <v>1704</v>
      </c>
      <c r="D950" t="s">
        <v>1705</v>
      </c>
      <c r="E950" t="s">
        <v>19</v>
      </c>
      <c r="F950">
        <v>4</v>
      </c>
      <c r="G950">
        <v>526.81299999999999</v>
      </c>
      <c r="H950">
        <v>2107.2508800000001</v>
      </c>
    </row>
    <row r="951" spans="1:8" hidden="1" x14ac:dyDescent="0.3">
      <c r="A951" t="s">
        <v>15</v>
      </c>
      <c r="B951" t="s">
        <v>1681</v>
      </c>
      <c r="C951" t="s">
        <v>761</v>
      </c>
      <c r="D951" t="s">
        <v>762</v>
      </c>
      <c r="E951" t="s">
        <v>19</v>
      </c>
      <c r="F951">
        <v>4</v>
      </c>
      <c r="G951">
        <v>24.567</v>
      </c>
      <c r="H951">
        <v>98.266679999999994</v>
      </c>
    </row>
    <row r="952" spans="1:8" hidden="1" x14ac:dyDescent="0.3">
      <c r="A952" t="s">
        <v>15</v>
      </c>
      <c r="B952" t="s">
        <v>1681</v>
      </c>
      <c r="C952" t="s">
        <v>1706</v>
      </c>
      <c r="D952" t="s">
        <v>1707</v>
      </c>
      <c r="E952" t="s">
        <v>19</v>
      </c>
      <c r="F952">
        <v>35</v>
      </c>
      <c r="G952">
        <v>20</v>
      </c>
      <c r="H952">
        <v>700</v>
      </c>
    </row>
    <row r="953" spans="1:8" hidden="1" x14ac:dyDescent="0.3">
      <c r="A953" t="s">
        <v>15</v>
      </c>
      <c r="B953" t="s">
        <v>1681</v>
      </c>
      <c r="C953" t="s">
        <v>1708</v>
      </c>
      <c r="D953" t="s">
        <v>1709</v>
      </c>
      <c r="E953" t="s">
        <v>19</v>
      </c>
      <c r="F953">
        <v>6</v>
      </c>
      <c r="G953">
        <v>1241.3789999999999</v>
      </c>
      <c r="H953">
        <v>7448.2758599999997</v>
      </c>
    </row>
    <row r="954" spans="1:8" hidden="1" x14ac:dyDescent="0.3">
      <c r="A954" t="s">
        <v>15</v>
      </c>
      <c r="B954" t="s">
        <v>1681</v>
      </c>
      <c r="C954" t="s">
        <v>1710</v>
      </c>
      <c r="D954" t="s">
        <v>1711</v>
      </c>
      <c r="E954" t="s">
        <v>19</v>
      </c>
      <c r="F954">
        <v>3</v>
      </c>
      <c r="G954">
        <v>9018</v>
      </c>
      <c r="H954">
        <v>27054</v>
      </c>
    </row>
    <row r="955" spans="1:8" hidden="1" x14ac:dyDescent="0.3">
      <c r="A955" t="s">
        <v>15</v>
      </c>
      <c r="B955" t="s">
        <v>1681</v>
      </c>
      <c r="C955" t="s">
        <v>1712</v>
      </c>
      <c r="D955" t="s">
        <v>1713</v>
      </c>
      <c r="E955" t="s">
        <v>19</v>
      </c>
      <c r="F955">
        <v>5</v>
      </c>
      <c r="G955">
        <v>2951.6</v>
      </c>
      <c r="H955">
        <v>14757.999949999999</v>
      </c>
    </row>
    <row r="956" spans="1:8" hidden="1" x14ac:dyDescent="0.3">
      <c r="A956" t="s">
        <v>15</v>
      </c>
      <c r="B956" t="s">
        <v>1681</v>
      </c>
      <c r="C956" t="s">
        <v>1714</v>
      </c>
      <c r="D956" t="s">
        <v>1715</v>
      </c>
      <c r="E956" t="s">
        <v>19</v>
      </c>
      <c r="F956">
        <v>30</v>
      </c>
      <c r="G956">
        <v>38.968000000000004</v>
      </c>
      <c r="H956">
        <v>1169.0481</v>
      </c>
    </row>
    <row r="957" spans="1:8" hidden="1" x14ac:dyDescent="0.3">
      <c r="A957" t="s">
        <v>15</v>
      </c>
      <c r="B957" t="s">
        <v>1681</v>
      </c>
      <c r="C957" t="s">
        <v>1422</v>
      </c>
      <c r="D957" t="s">
        <v>1423</v>
      </c>
      <c r="E957" t="s">
        <v>19</v>
      </c>
      <c r="F957">
        <v>2</v>
      </c>
      <c r="G957">
        <v>2150</v>
      </c>
      <c r="H957">
        <v>4300</v>
      </c>
    </row>
    <row r="958" spans="1:8" hidden="1" x14ac:dyDescent="0.3">
      <c r="A958" t="s">
        <v>15</v>
      </c>
      <c r="B958" t="s">
        <v>1681</v>
      </c>
      <c r="C958" t="s">
        <v>769</v>
      </c>
      <c r="D958" t="s">
        <v>770</v>
      </c>
      <c r="E958" t="s">
        <v>19</v>
      </c>
      <c r="F958">
        <v>14</v>
      </c>
      <c r="G958">
        <v>22</v>
      </c>
      <c r="H958">
        <v>308</v>
      </c>
    </row>
    <row r="959" spans="1:8" hidden="1" x14ac:dyDescent="0.3">
      <c r="A959" t="s">
        <v>15</v>
      </c>
      <c r="B959" t="s">
        <v>1681</v>
      </c>
      <c r="C959" t="s">
        <v>771</v>
      </c>
      <c r="D959" t="s">
        <v>772</v>
      </c>
      <c r="E959" t="s">
        <v>19</v>
      </c>
      <c r="F959">
        <v>2</v>
      </c>
      <c r="G959">
        <v>65</v>
      </c>
      <c r="H959">
        <v>130</v>
      </c>
    </row>
    <row r="960" spans="1:8" hidden="1" x14ac:dyDescent="0.3">
      <c r="A960" t="s">
        <v>15</v>
      </c>
      <c r="B960" t="s">
        <v>1681</v>
      </c>
      <c r="C960" t="s">
        <v>263</v>
      </c>
      <c r="D960" t="s">
        <v>264</v>
      </c>
      <c r="E960" t="s">
        <v>233</v>
      </c>
      <c r="F960">
        <v>5</v>
      </c>
      <c r="G960">
        <v>22</v>
      </c>
      <c r="H960">
        <v>110</v>
      </c>
    </row>
    <row r="961" spans="1:8" hidden="1" x14ac:dyDescent="0.3">
      <c r="A961" t="s">
        <v>15</v>
      </c>
      <c r="B961" t="s">
        <v>1681</v>
      </c>
      <c r="C961" t="s">
        <v>1522</v>
      </c>
      <c r="D961" t="s">
        <v>1523</v>
      </c>
      <c r="E961" t="s">
        <v>19</v>
      </c>
      <c r="F961">
        <v>111</v>
      </c>
      <c r="G961">
        <v>2420.7773768115899</v>
      </c>
      <c r="H961">
        <v>265114.03097000002</v>
      </c>
    </row>
    <row r="962" spans="1:8" hidden="1" x14ac:dyDescent="0.3">
      <c r="A962" t="s">
        <v>15</v>
      </c>
      <c r="B962" t="s">
        <v>1681</v>
      </c>
      <c r="C962" t="s">
        <v>1716</v>
      </c>
      <c r="D962" t="s">
        <v>1717</v>
      </c>
      <c r="E962" t="s">
        <v>19</v>
      </c>
      <c r="F962">
        <v>8</v>
      </c>
      <c r="G962">
        <v>202.80466666666601</v>
      </c>
      <c r="H962">
        <v>1619.5846799999999</v>
      </c>
    </row>
    <row r="963" spans="1:8" hidden="1" x14ac:dyDescent="0.3">
      <c r="A963" t="s">
        <v>15</v>
      </c>
      <c r="B963" t="s">
        <v>1681</v>
      </c>
      <c r="C963" t="s">
        <v>1718</v>
      </c>
      <c r="D963" t="s">
        <v>1719</v>
      </c>
      <c r="E963" t="s">
        <v>830</v>
      </c>
      <c r="F963">
        <v>17.55</v>
      </c>
      <c r="G963">
        <v>45641.045322033802</v>
      </c>
      <c r="H963">
        <v>801428.42036999995</v>
      </c>
    </row>
    <row r="964" spans="1:8" hidden="1" x14ac:dyDescent="0.3">
      <c r="A964" t="s">
        <v>15</v>
      </c>
      <c r="B964" t="s">
        <v>1681</v>
      </c>
      <c r="C964" t="s">
        <v>1645</v>
      </c>
      <c r="D964" t="s">
        <v>1646</v>
      </c>
      <c r="E964" t="s">
        <v>233</v>
      </c>
      <c r="F964">
        <v>1472</v>
      </c>
      <c r="G964">
        <v>57.780999999999999</v>
      </c>
      <c r="H964">
        <v>85053.73504</v>
      </c>
    </row>
    <row r="965" spans="1:8" hidden="1" x14ac:dyDescent="0.3">
      <c r="A965" t="s">
        <v>15</v>
      </c>
      <c r="B965" t="s">
        <v>1681</v>
      </c>
      <c r="C965" t="s">
        <v>1647</v>
      </c>
      <c r="D965" t="s">
        <v>1648</v>
      </c>
      <c r="E965" t="s">
        <v>233</v>
      </c>
      <c r="F965">
        <v>24</v>
      </c>
      <c r="G965">
        <v>55.4</v>
      </c>
      <c r="H965">
        <v>1329.6</v>
      </c>
    </row>
    <row r="966" spans="1:8" hidden="1" x14ac:dyDescent="0.3">
      <c r="A966" t="s">
        <v>15</v>
      </c>
      <c r="B966" t="s">
        <v>1681</v>
      </c>
      <c r="C966" t="s">
        <v>1649</v>
      </c>
      <c r="D966" t="s">
        <v>1650</v>
      </c>
      <c r="E966" t="s">
        <v>233</v>
      </c>
      <c r="F966">
        <v>350</v>
      </c>
      <c r="G966">
        <v>15</v>
      </c>
      <c r="H966">
        <v>5250</v>
      </c>
    </row>
    <row r="967" spans="1:8" hidden="1" x14ac:dyDescent="0.3">
      <c r="A967" t="s">
        <v>15</v>
      </c>
      <c r="B967" t="s">
        <v>1681</v>
      </c>
      <c r="C967" t="s">
        <v>1720</v>
      </c>
      <c r="D967" t="s">
        <v>1721</v>
      </c>
      <c r="E967" t="s">
        <v>233</v>
      </c>
      <c r="F967">
        <v>180</v>
      </c>
      <c r="G967">
        <v>264.555833333333</v>
      </c>
      <c r="H967">
        <v>47620.000500000002</v>
      </c>
    </row>
    <row r="968" spans="1:8" hidden="1" x14ac:dyDescent="0.3">
      <c r="A968" t="s">
        <v>15</v>
      </c>
      <c r="B968" t="s">
        <v>1681</v>
      </c>
      <c r="C968" t="s">
        <v>1722</v>
      </c>
      <c r="D968" t="s">
        <v>1723</v>
      </c>
      <c r="E968" t="s">
        <v>233</v>
      </c>
      <c r="F968">
        <v>180</v>
      </c>
      <c r="G968">
        <v>264.555833333333</v>
      </c>
      <c r="H968">
        <v>47620.000500000002</v>
      </c>
    </row>
    <row r="969" spans="1:8" hidden="1" x14ac:dyDescent="0.3">
      <c r="A969" t="s">
        <v>15</v>
      </c>
      <c r="B969" t="s">
        <v>1681</v>
      </c>
      <c r="C969" t="s">
        <v>271</v>
      </c>
      <c r="D969" t="s">
        <v>272</v>
      </c>
      <c r="E969" t="s">
        <v>244</v>
      </c>
      <c r="F969">
        <v>4</v>
      </c>
      <c r="G969">
        <v>351.39600000000002</v>
      </c>
      <c r="H969">
        <v>1409.8511000000001</v>
      </c>
    </row>
    <row r="970" spans="1:8" hidden="1" x14ac:dyDescent="0.3">
      <c r="A970" t="s">
        <v>15</v>
      </c>
      <c r="B970" t="s">
        <v>1681</v>
      </c>
      <c r="C970" t="s">
        <v>1724</v>
      </c>
      <c r="D970" t="s">
        <v>1725</v>
      </c>
      <c r="E970" t="s">
        <v>1726</v>
      </c>
      <c r="F970">
        <v>39973.599999999999</v>
      </c>
      <c r="G970">
        <v>13.45</v>
      </c>
      <c r="H970">
        <v>537644.92000000004</v>
      </c>
    </row>
    <row r="971" spans="1:8" hidden="1" x14ac:dyDescent="0.3">
      <c r="A971" t="s">
        <v>15</v>
      </c>
      <c r="B971" t="s">
        <v>1681</v>
      </c>
      <c r="C971" t="s">
        <v>1655</v>
      </c>
      <c r="D971" t="s">
        <v>1656</v>
      </c>
      <c r="E971" t="s">
        <v>19</v>
      </c>
      <c r="F971">
        <v>3551</v>
      </c>
      <c r="G971">
        <v>32.703962264150903</v>
      </c>
      <c r="H971">
        <v>116131.88658000001</v>
      </c>
    </row>
    <row r="972" spans="1:8" hidden="1" x14ac:dyDescent="0.3">
      <c r="A972" t="s">
        <v>15</v>
      </c>
      <c r="B972" t="s">
        <v>1681</v>
      </c>
      <c r="C972" t="s">
        <v>1657</v>
      </c>
      <c r="D972" t="s">
        <v>1658</v>
      </c>
      <c r="E972" t="s">
        <v>1659</v>
      </c>
      <c r="F972">
        <v>50</v>
      </c>
      <c r="G972">
        <v>225.608</v>
      </c>
      <c r="H972">
        <v>11280.4195</v>
      </c>
    </row>
    <row r="973" spans="1:8" hidden="1" x14ac:dyDescent="0.3">
      <c r="A973" t="s">
        <v>15</v>
      </c>
      <c r="B973" t="s">
        <v>1681</v>
      </c>
      <c r="C973" t="s">
        <v>1727</v>
      </c>
      <c r="D973" t="s">
        <v>1728</v>
      </c>
      <c r="E973" t="s">
        <v>19</v>
      </c>
      <c r="F973">
        <v>20</v>
      </c>
      <c r="G973">
        <v>170.208</v>
      </c>
      <c r="H973">
        <v>3404.1626000000001</v>
      </c>
    </row>
    <row r="974" spans="1:8" hidden="1" x14ac:dyDescent="0.3">
      <c r="A974" t="s">
        <v>15</v>
      </c>
      <c r="B974" t="s">
        <v>1681</v>
      </c>
      <c r="C974" t="s">
        <v>1132</v>
      </c>
      <c r="D974" t="s">
        <v>1133</v>
      </c>
      <c r="E974" t="s">
        <v>293</v>
      </c>
      <c r="F974">
        <v>8</v>
      </c>
      <c r="G974">
        <v>100.7</v>
      </c>
      <c r="H974">
        <v>805.6</v>
      </c>
    </row>
    <row r="975" spans="1:8" hidden="1" x14ac:dyDescent="0.3">
      <c r="A975" t="s">
        <v>15</v>
      </c>
      <c r="B975" t="s">
        <v>1681</v>
      </c>
      <c r="C975" t="s">
        <v>1729</v>
      </c>
      <c r="D975" t="s">
        <v>1730</v>
      </c>
      <c r="E975" t="s">
        <v>19</v>
      </c>
      <c r="F975">
        <v>134</v>
      </c>
      <c r="G975">
        <v>1750</v>
      </c>
      <c r="H975">
        <v>234500</v>
      </c>
    </row>
    <row r="976" spans="1:8" hidden="1" x14ac:dyDescent="0.3">
      <c r="A976" t="s">
        <v>15</v>
      </c>
      <c r="B976" t="s">
        <v>1681</v>
      </c>
      <c r="C976" t="s">
        <v>1663</v>
      </c>
      <c r="D976" t="s">
        <v>1664</v>
      </c>
      <c r="E976" t="s">
        <v>830</v>
      </c>
      <c r="F976">
        <v>18.175000000000001</v>
      </c>
      <c r="G976">
        <v>24544.468085106299</v>
      </c>
      <c r="H976">
        <v>446027.625</v>
      </c>
    </row>
    <row r="977" spans="1:8" hidden="1" x14ac:dyDescent="0.3">
      <c r="A977" t="s">
        <v>15</v>
      </c>
      <c r="B977" t="s">
        <v>1681</v>
      </c>
      <c r="C977" t="s">
        <v>1665</v>
      </c>
      <c r="D977" t="s">
        <v>1666</v>
      </c>
      <c r="E977" t="s">
        <v>233</v>
      </c>
      <c r="F977">
        <v>2100</v>
      </c>
      <c r="G977">
        <v>3.8</v>
      </c>
      <c r="H977">
        <v>7980</v>
      </c>
    </row>
    <row r="978" spans="1:8" hidden="1" x14ac:dyDescent="0.3">
      <c r="A978" t="s">
        <v>15</v>
      </c>
      <c r="B978" t="s">
        <v>1681</v>
      </c>
      <c r="C978" t="s">
        <v>1667</v>
      </c>
      <c r="D978" t="s">
        <v>1668</v>
      </c>
      <c r="E978" t="s">
        <v>233</v>
      </c>
      <c r="F978">
        <v>175</v>
      </c>
      <c r="G978">
        <v>96.5</v>
      </c>
      <c r="H978">
        <v>16887.5</v>
      </c>
    </row>
    <row r="979" spans="1:8" hidden="1" x14ac:dyDescent="0.3">
      <c r="A979" t="s">
        <v>15</v>
      </c>
      <c r="B979" t="s">
        <v>1681</v>
      </c>
      <c r="C979" t="s">
        <v>1731</v>
      </c>
      <c r="D979" t="s">
        <v>1732</v>
      </c>
      <c r="E979" t="s">
        <v>233</v>
      </c>
      <c r="F979">
        <v>200</v>
      </c>
      <c r="G979">
        <v>35</v>
      </c>
      <c r="H979">
        <v>7000</v>
      </c>
    </row>
    <row r="980" spans="1:8" hidden="1" x14ac:dyDescent="0.3">
      <c r="A980" t="s">
        <v>15</v>
      </c>
      <c r="B980" t="s">
        <v>1681</v>
      </c>
      <c r="C980" t="s">
        <v>1733</v>
      </c>
      <c r="D980" t="s">
        <v>1734</v>
      </c>
      <c r="E980" t="s">
        <v>210</v>
      </c>
      <c r="F980">
        <v>1093</v>
      </c>
      <c r="G980">
        <v>4194.60112765957</v>
      </c>
      <c r="H980">
        <v>4584963.8800299997</v>
      </c>
    </row>
    <row r="981" spans="1:8" hidden="1" x14ac:dyDescent="0.3">
      <c r="A981" t="s">
        <v>15</v>
      </c>
      <c r="B981" t="s">
        <v>1681</v>
      </c>
      <c r="C981" t="s">
        <v>1735</v>
      </c>
      <c r="D981" t="s">
        <v>1736</v>
      </c>
      <c r="E981" t="s">
        <v>19</v>
      </c>
      <c r="F981">
        <v>53</v>
      </c>
      <c r="G981">
        <v>2347.9070384615302</v>
      </c>
      <c r="H981">
        <v>124423.02441</v>
      </c>
    </row>
    <row r="982" spans="1:8" hidden="1" x14ac:dyDescent="0.3">
      <c r="A982" t="s">
        <v>15</v>
      </c>
      <c r="B982" t="s">
        <v>1681</v>
      </c>
      <c r="C982" t="s">
        <v>1737</v>
      </c>
      <c r="D982" t="s">
        <v>1738</v>
      </c>
      <c r="E982" t="s">
        <v>19</v>
      </c>
      <c r="F982">
        <v>3276</v>
      </c>
      <c r="G982">
        <v>48.120097826086898</v>
      </c>
      <c r="H982">
        <v>157649.43122999999</v>
      </c>
    </row>
    <row r="983" spans="1:8" hidden="1" x14ac:dyDescent="0.3">
      <c r="A983" t="s">
        <v>15</v>
      </c>
      <c r="B983" t="s">
        <v>1681</v>
      </c>
      <c r="C983" t="s">
        <v>1739</v>
      </c>
      <c r="D983" t="s">
        <v>1740</v>
      </c>
      <c r="E983" t="s">
        <v>233</v>
      </c>
      <c r="F983">
        <v>11125</v>
      </c>
      <c r="G983">
        <v>16</v>
      </c>
      <c r="H983">
        <v>177999.9785</v>
      </c>
    </row>
    <row r="984" spans="1:8" hidden="1" x14ac:dyDescent="0.3">
      <c r="A984" t="s">
        <v>15</v>
      </c>
      <c r="B984" t="s">
        <v>1681</v>
      </c>
      <c r="C984" t="s">
        <v>1741</v>
      </c>
      <c r="D984" t="s">
        <v>1742</v>
      </c>
      <c r="E984" t="s">
        <v>233</v>
      </c>
      <c r="F984">
        <v>9100</v>
      </c>
      <c r="G984">
        <v>11.9881505376344</v>
      </c>
      <c r="H984">
        <v>108736.118</v>
      </c>
    </row>
    <row r="985" spans="1:8" hidden="1" x14ac:dyDescent="0.3">
      <c r="A985" t="s">
        <v>15</v>
      </c>
      <c r="B985" t="s">
        <v>1681</v>
      </c>
      <c r="C985" t="s">
        <v>1743</v>
      </c>
      <c r="D985" t="s">
        <v>1744</v>
      </c>
      <c r="E985" t="s">
        <v>19</v>
      </c>
      <c r="F985">
        <v>7</v>
      </c>
      <c r="G985">
        <v>8680.8128571428497</v>
      </c>
      <c r="H985">
        <v>60765.69</v>
      </c>
    </row>
    <row r="986" spans="1:8" hidden="1" x14ac:dyDescent="0.3">
      <c r="A986" t="s">
        <v>15</v>
      </c>
      <c r="B986" t="s">
        <v>1681</v>
      </c>
      <c r="C986" t="s">
        <v>1745</v>
      </c>
      <c r="D986" t="s">
        <v>1746</v>
      </c>
      <c r="E986" t="s">
        <v>19</v>
      </c>
      <c r="F986">
        <v>7</v>
      </c>
      <c r="G986">
        <v>8680.8128571428497</v>
      </c>
      <c r="H986">
        <v>60765.69</v>
      </c>
    </row>
    <row r="987" spans="1:8" hidden="1" x14ac:dyDescent="0.3">
      <c r="A987" t="s">
        <v>15</v>
      </c>
      <c r="B987" t="s">
        <v>1681</v>
      </c>
      <c r="C987" t="s">
        <v>1747</v>
      </c>
      <c r="D987" t="s">
        <v>1748</v>
      </c>
      <c r="E987" t="s">
        <v>19</v>
      </c>
      <c r="F987">
        <v>262</v>
      </c>
      <c r="G987">
        <v>58.155000000000001</v>
      </c>
      <c r="H987">
        <v>15236.49734</v>
      </c>
    </row>
    <row r="988" spans="1:8" hidden="1" x14ac:dyDescent="0.3">
      <c r="A988" t="s">
        <v>15</v>
      </c>
      <c r="B988" t="s">
        <v>1681</v>
      </c>
      <c r="C988" t="s">
        <v>1749</v>
      </c>
      <c r="D988" t="s">
        <v>1750</v>
      </c>
      <c r="E988" t="s">
        <v>233</v>
      </c>
      <c r="F988">
        <v>4800</v>
      </c>
      <c r="G988">
        <v>84.866851485148501</v>
      </c>
      <c r="H988">
        <v>407393.09850000002</v>
      </c>
    </row>
    <row r="989" spans="1:8" hidden="1" x14ac:dyDescent="0.3">
      <c r="A989" t="s">
        <v>15</v>
      </c>
      <c r="B989" t="s">
        <v>1681</v>
      </c>
      <c r="C989" t="s">
        <v>1751</v>
      </c>
      <c r="D989" t="s">
        <v>1752</v>
      </c>
      <c r="E989" t="s">
        <v>233</v>
      </c>
      <c r="F989">
        <v>65250</v>
      </c>
      <c r="G989">
        <v>4.10892391304347</v>
      </c>
      <c r="H989">
        <v>268098.89750000002</v>
      </c>
    </row>
    <row r="990" spans="1:8" hidden="1" x14ac:dyDescent="0.3">
      <c r="A990" t="s">
        <v>15</v>
      </c>
      <c r="B990" t="s">
        <v>1681</v>
      </c>
      <c r="C990" t="s">
        <v>1753</v>
      </c>
      <c r="D990" t="s">
        <v>1754</v>
      </c>
      <c r="E990" t="s">
        <v>19</v>
      </c>
      <c r="F990">
        <v>736</v>
      </c>
      <c r="G990">
        <v>874.50677419354804</v>
      </c>
      <c r="H990">
        <v>643626.40326000005</v>
      </c>
    </row>
    <row r="991" spans="1:8" hidden="1" x14ac:dyDescent="0.3">
      <c r="A991" t="s">
        <v>15</v>
      </c>
      <c r="B991" t="s">
        <v>1681</v>
      </c>
      <c r="C991" t="s">
        <v>1755</v>
      </c>
      <c r="D991" t="s">
        <v>1756</v>
      </c>
      <c r="E991" t="s">
        <v>19</v>
      </c>
      <c r="F991">
        <v>368</v>
      </c>
      <c r="G991">
        <v>564.03869892473097</v>
      </c>
      <c r="H991">
        <v>207566.74525000001</v>
      </c>
    </row>
    <row r="992" spans="1:8" hidden="1" x14ac:dyDescent="0.3">
      <c r="A992" t="s">
        <v>15</v>
      </c>
      <c r="B992" t="s">
        <v>1681</v>
      </c>
      <c r="C992" t="s">
        <v>1757</v>
      </c>
      <c r="D992" t="s">
        <v>1758</v>
      </c>
      <c r="E992" t="s">
        <v>19</v>
      </c>
      <c r="F992">
        <v>368</v>
      </c>
      <c r="G992">
        <v>564.15593548387005</v>
      </c>
      <c r="H992">
        <v>207610.35693000001</v>
      </c>
    </row>
    <row r="993" spans="1:8" hidden="1" x14ac:dyDescent="0.3">
      <c r="A993" t="s">
        <v>15</v>
      </c>
      <c r="B993" t="s">
        <v>1681</v>
      </c>
      <c r="C993" t="s">
        <v>1759</v>
      </c>
      <c r="D993" t="s">
        <v>1760</v>
      </c>
      <c r="E993" t="s">
        <v>830</v>
      </c>
      <c r="F993">
        <v>2.5999999999999999E-2</v>
      </c>
      <c r="G993">
        <v>185280.38933333301</v>
      </c>
      <c r="H993">
        <v>4817.7787600000001</v>
      </c>
    </row>
    <row r="994" spans="1:8" hidden="1" x14ac:dyDescent="0.3">
      <c r="A994" t="s">
        <v>15</v>
      </c>
      <c r="B994" t="s">
        <v>1681</v>
      </c>
      <c r="C994" t="s">
        <v>1675</v>
      </c>
      <c r="D994" t="s">
        <v>1676</v>
      </c>
      <c r="E994" t="s">
        <v>233</v>
      </c>
      <c r="F994">
        <v>550</v>
      </c>
      <c r="G994">
        <v>212</v>
      </c>
      <c r="H994">
        <v>116600</v>
      </c>
    </row>
    <row r="995" spans="1:8" hidden="1" x14ac:dyDescent="0.3">
      <c r="A995" t="s">
        <v>15</v>
      </c>
      <c r="B995" t="s">
        <v>1761</v>
      </c>
      <c r="C995" t="s">
        <v>982</v>
      </c>
      <c r="D995" t="s">
        <v>983</v>
      </c>
      <c r="E995" t="s">
        <v>19</v>
      </c>
      <c r="F995">
        <v>2</v>
      </c>
      <c r="G995">
        <v>105</v>
      </c>
      <c r="H995">
        <v>210</v>
      </c>
    </row>
    <row r="996" spans="1:8" hidden="1" x14ac:dyDescent="0.3">
      <c r="A996" t="s">
        <v>15</v>
      </c>
      <c r="B996" t="s">
        <v>1761</v>
      </c>
      <c r="C996" t="s">
        <v>1762</v>
      </c>
      <c r="D996" t="s">
        <v>1763</v>
      </c>
      <c r="E996" t="s">
        <v>19</v>
      </c>
      <c r="F996">
        <v>1</v>
      </c>
      <c r="G996">
        <v>9370.4950000000008</v>
      </c>
      <c r="H996">
        <v>9370.4953000000005</v>
      </c>
    </row>
    <row r="997" spans="1:8" hidden="1" x14ac:dyDescent="0.3">
      <c r="A997" t="s">
        <v>15</v>
      </c>
      <c r="B997" t="s">
        <v>1761</v>
      </c>
      <c r="C997" t="s">
        <v>1764</v>
      </c>
      <c r="D997" t="s">
        <v>1765</v>
      </c>
      <c r="E997" t="s">
        <v>19</v>
      </c>
      <c r="F997">
        <v>200</v>
      </c>
      <c r="G997">
        <v>77.044333333333299</v>
      </c>
      <c r="H997">
        <v>15813.33093</v>
      </c>
    </row>
    <row r="998" spans="1:8" hidden="1" x14ac:dyDescent="0.3">
      <c r="A998" t="s">
        <v>15</v>
      </c>
      <c r="B998" t="s">
        <v>1761</v>
      </c>
      <c r="C998" t="s">
        <v>1766</v>
      </c>
      <c r="D998" t="s">
        <v>1767</v>
      </c>
      <c r="E998" t="s">
        <v>19</v>
      </c>
      <c r="F998">
        <v>1</v>
      </c>
      <c r="G998">
        <v>192.077</v>
      </c>
      <c r="H998">
        <v>192.07667000000001</v>
      </c>
    </row>
    <row r="999" spans="1:8" hidden="1" x14ac:dyDescent="0.3">
      <c r="A999" t="s">
        <v>15</v>
      </c>
      <c r="B999" t="s">
        <v>1761</v>
      </c>
      <c r="C999" t="s">
        <v>1768</v>
      </c>
      <c r="D999" t="s">
        <v>1769</v>
      </c>
      <c r="E999" t="s">
        <v>19</v>
      </c>
      <c r="F999">
        <v>1</v>
      </c>
      <c r="G999">
        <v>19100</v>
      </c>
      <c r="H999">
        <v>19100</v>
      </c>
    </row>
    <row r="1000" spans="1:8" hidden="1" x14ac:dyDescent="0.3">
      <c r="A1000" t="s">
        <v>15</v>
      </c>
      <c r="B1000" t="s">
        <v>1761</v>
      </c>
      <c r="C1000" t="s">
        <v>1770</v>
      </c>
      <c r="D1000" t="s">
        <v>1771</v>
      </c>
      <c r="E1000" t="s">
        <v>1341</v>
      </c>
      <c r="F1000">
        <v>1</v>
      </c>
      <c r="G1000">
        <v>3140.1039999999998</v>
      </c>
      <c r="H1000">
        <v>3140.1039000000001</v>
      </c>
    </row>
    <row r="1001" spans="1:8" hidden="1" x14ac:dyDescent="0.3">
      <c r="A1001" t="s">
        <v>15</v>
      </c>
      <c r="B1001" t="s">
        <v>1761</v>
      </c>
      <c r="C1001" t="s">
        <v>1772</v>
      </c>
      <c r="D1001" t="s">
        <v>1773</v>
      </c>
      <c r="E1001" t="s">
        <v>233</v>
      </c>
      <c r="F1001">
        <v>0.5</v>
      </c>
      <c r="G1001">
        <v>9556.6</v>
      </c>
      <c r="H1001">
        <v>4778.3</v>
      </c>
    </row>
    <row r="1002" spans="1:8" hidden="1" x14ac:dyDescent="0.3">
      <c r="A1002" t="s">
        <v>15</v>
      </c>
      <c r="B1002" t="s">
        <v>1761</v>
      </c>
      <c r="C1002" t="s">
        <v>1774</v>
      </c>
      <c r="D1002" t="s">
        <v>1775</v>
      </c>
      <c r="E1002" t="s">
        <v>233</v>
      </c>
      <c r="F1002">
        <v>1.75</v>
      </c>
      <c r="G1002">
        <v>38125</v>
      </c>
      <c r="H1002">
        <v>66625</v>
      </c>
    </row>
    <row r="1003" spans="1:8" hidden="1" x14ac:dyDescent="0.3">
      <c r="A1003" t="s">
        <v>15</v>
      </c>
      <c r="B1003" t="s">
        <v>1761</v>
      </c>
      <c r="C1003" t="s">
        <v>1776</v>
      </c>
      <c r="D1003" t="s">
        <v>1777</v>
      </c>
      <c r="E1003" t="s">
        <v>293</v>
      </c>
      <c r="F1003">
        <v>2.5</v>
      </c>
      <c r="G1003">
        <v>378.82900000000001</v>
      </c>
      <c r="H1003">
        <v>947.07243000000005</v>
      </c>
    </row>
    <row r="1004" spans="1:8" hidden="1" x14ac:dyDescent="0.3">
      <c r="A1004" t="s">
        <v>15</v>
      </c>
      <c r="B1004" t="s">
        <v>1761</v>
      </c>
      <c r="C1004" t="s">
        <v>1778</v>
      </c>
      <c r="D1004" t="s">
        <v>1779</v>
      </c>
      <c r="E1004" t="s">
        <v>19</v>
      </c>
      <c r="F1004">
        <v>7</v>
      </c>
      <c r="G1004">
        <v>261.63499999999999</v>
      </c>
      <c r="H1004">
        <v>1831.4477300000001</v>
      </c>
    </row>
    <row r="1005" spans="1:8" hidden="1" x14ac:dyDescent="0.3">
      <c r="A1005" t="s">
        <v>15</v>
      </c>
      <c r="B1005" t="s">
        <v>1761</v>
      </c>
      <c r="C1005" t="s">
        <v>1780</v>
      </c>
      <c r="D1005" t="s">
        <v>1781</v>
      </c>
      <c r="E1005" t="s">
        <v>293</v>
      </c>
      <c r="F1005">
        <v>5</v>
      </c>
      <c r="G1005">
        <v>150.018</v>
      </c>
      <c r="H1005">
        <v>750.09185000000002</v>
      </c>
    </row>
    <row r="1006" spans="1:8" hidden="1" x14ac:dyDescent="0.3">
      <c r="A1006" t="s">
        <v>15</v>
      </c>
      <c r="B1006" t="s">
        <v>1761</v>
      </c>
      <c r="C1006" t="s">
        <v>1782</v>
      </c>
      <c r="D1006" t="s">
        <v>1783</v>
      </c>
      <c r="E1006" t="s">
        <v>233</v>
      </c>
      <c r="F1006">
        <v>0.3</v>
      </c>
      <c r="G1006">
        <v>7917.3850000000002</v>
      </c>
      <c r="H1006">
        <v>2375.2154399999999</v>
      </c>
    </row>
    <row r="1007" spans="1:8" hidden="1" x14ac:dyDescent="0.3">
      <c r="A1007" t="s">
        <v>15</v>
      </c>
      <c r="B1007" t="s">
        <v>1761</v>
      </c>
      <c r="C1007" t="s">
        <v>1784</v>
      </c>
      <c r="D1007" t="s">
        <v>1785</v>
      </c>
      <c r="E1007" t="s">
        <v>1341</v>
      </c>
      <c r="F1007">
        <v>2</v>
      </c>
      <c r="G1007">
        <v>1012.816</v>
      </c>
      <c r="H1007">
        <v>2025.63158</v>
      </c>
    </row>
    <row r="1008" spans="1:8" hidden="1" x14ac:dyDescent="0.3">
      <c r="A1008" t="s">
        <v>15</v>
      </c>
      <c r="B1008" t="s">
        <v>1761</v>
      </c>
      <c r="C1008" t="s">
        <v>1786</v>
      </c>
      <c r="D1008" t="s">
        <v>1787</v>
      </c>
      <c r="E1008" t="s">
        <v>19</v>
      </c>
      <c r="F1008">
        <v>1</v>
      </c>
      <c r="G1008">
        <v>11900</v>
      </c>
      <c r="H1008">
        <v>11900</v>
      </c>
    </row>
    <row r="1009" spans="1:8" hidden="1" x14ac:dyDescent="0.3">
      <c r="A1009" t="s">
        <v>15</v>
      </c>
      <c r="B1009" t="s">
        <v>1761</v>
      </c>
      <c r="C1009" t="s">
        <v>1788</v>
      </c>
      <c r="D1009" t="s">
        <v>1789</v>
      </c>
      <c r="E1009" t="s">
        <v>19</v>
      </c>
      <c r="F1009">
        <v>1</v>
      </c>
      <c r="G1009">
        <v>68.116</v>
      </c>
      <c r="H1009">
        <v>76.169120000000007</v>
      </c>
    </row>
    <row r="1010" spans="1:8" hidden="1" x14ac:dyDescent="0.3">
      <c r="A1010" t="s">
        <v>15</v>
      </c>
      <c r="B1010" t="s">
        <v>1761</v>
      </c>
      <c r="C1010" t="s">
        <v>1790</v>
      </c>
      <c r="D1010" t="s">
        <v>1791</v>
      </c>
      <c r="E1010" t="s">
        <v>19</v>
      </c>
      <c r="F1010">
        <v>11</v>
      </c>
      <c r="G1010">
        <v>3500</v>
      </c>
      <c r="H1010">
        <v>38500</v>
      </c>
    </row>
    <row r="1011" spans="1:8" hidden="1" x14ac:dyDescent="0.3">
      <c r="A1011" t="s">
        <v>15</v>
      </c>
      <c r="B1011" t="s">
        <v>1792</v>
      </c>
      <c r="C1011" t="s">
        <v>885</v>
      </c>
      <c r="D1011" t="s">
        <v>886</v>
      </c>
      <c r="E1011" t="s">
        <v>233</v>
      </c>
      <c r="F1011">
        <v>3</v>
      </c>
      <c r="G1011">
        <v>62.798999999999999</v>
      </c>
      <c r="H1011">
        <v>188.39697000000001</v>
      </c>
    </row>
    <row r="1012" spans="1:8" hidden="1" x14ac:dyDescent="0.3">
      <c r="A1012" t="s">
        <v>15</v>
      </c>
      <c r="B1012" t="s">
        <v>1792</v>
      </c>
      <c r="C1012" t="s">
        <v>1793</v>
      </c>
      <c r="D1012" t="s">
        <v>1794</v>
      </c>
      <c r="E1012" t="s">
        <v>233</v>
      </c>
      <c r="F1012">
        <v>2</v>
      </c>
      <c r="G1012">
        <v>80.488</v>
      </c>
      <c r="H1012">
        <v>160.97569999999999</v>
      </c>
    </row>
    <row r="1013" spans="1:8" hidden="1" x14ac:dyDescent="0.3">
      <c r="A1013" t="s">
        <v>15</v>
      </c>
      <c r="B1013" t="s">
        <v>1792</v>
      </c>
      <c r="C1013" t="s">
        <v>891</v>
      </c>
      <c r="D1013" t="s">
        <v>892</v>
      </c>
      <c r="E1013" t="s">
        <v>233</v>
      </c>
      <c r="F1013">
        <v>10</v>
      </c>
      <c r="G1013">
        <v>81.802999999999997</v>
      </c>
      <c r="H1013">
        <v>818.02539999999999</v>
      </c>
    </row>
    <row r="1014" spans="1:8" hidden="1" x14ac:dyDescent="0.3">
      <c r="A1014" t="s">
        <v>15</v>
      </c>
      <c r="B1014" t="s">
        <v>1792</v>
      </c>
      <c r="C1014" t="s">
        <v>905</v>
      </c>
      <c r="D1014" t="s">
        <v>906</v>
      </c>
      <c r="E1014" t="s">
        <v>233</v>
      </c>
      <c r="F1014">
        <v>3</v>
      </c>
      <c r="G1014">
        <v>83.563999999999993</v>
      </c>
      <c r="H1014">
        <v>250.69155000000001</v>
      </c>
    </row>
    <row r="1015" spans="1:8" hidden="1" x14ac:dyDescent="0.3">
      <c r="A1015" t="s">
        <v>15</v>
      </c>
      <c r="B1015" t="s">
        <v>1792</v>
      </c>
      <c r="C1015" t="s">
        <v>1795</v>
      </c>
      <c r="D1015" t="s">
        <v>1796</v>
      </c>
      <c r="E1015" t="s">
        <v>19</v>
      </c>
      <c r="F1015">
        <v>2</v>
      </c>
      <c r="G1015">
        <v>25.488</v>
      </c>
      <c r="H1015">
        <v>50.975920000000002</v>
      </c>
    </row>
    <row r="1016" spans="1:8" hidden="1" x14ac:dyDescent="0.3">
      <c r="A1016" t="s">
        <v>15</v>
      </c>
      <c r="B1016" t="s">
        <v>1792</v>
      </c>
      <c r="C1016" t="s">
        <v>1797</v>
      </c>
      <c r="D1016" t="s">
        <v>1798</v>
      </c>
      <c r="E1016" t="s">
        <v>19</v>
      </c>
      <c r="F1016">
        <v>30</v>
      </c>
      <c r="G1016">
        <v>356.56900000000002</v>
      </c>
      <c r="H1016">
        <v>10277.722</v>
      </c>
    </row>
    <row r="1017" spans="1:8" hidden="1" x14ac:dyDescent="0.3">
      <c r="A1017" t="s">
        <v>15</v>
      </c>
      <c r="B1017" t="s">
        <v>1792</v>
      </c>
      <c r="C1017" t="s">
        <v>1799</v>
      </c>
      <c r="D1017" t="s">
        <v>1800</v>
      </c>
      <c r="E1017" t="s">
        <v>19</v>
      </c>
      <c r="F1017">
        <v>6</v>
      </c>
      <c r="G1017">
        <v>468.97800000000001</v>
      </c>
      <c r="H1017">
        <v>2813.8681200000001</v>
      </c>
    </row>
    <row r="1018" spans="1:8" hidden="1" x14ac:dyDescent="0.3">
      <c r="A1018" t="s">
        <v>15</v>
      </c>
      <c r="B1018" t="s">
        <v>1792</v>
      </c>
      <c r="C1018" t="s">
        <v>1801</v>
      </c>
      <c r="D1018" t="s">
        <v>1802</v>
      </c>
      <c r="E1018" t="s">
        <v>19</v>
      </c>
      <c r="F1018">
        <v>2</v>
      </c>
      <c r="G1018">
        <v>1450</v>
      </c>
      <c r="H1018">
        <v>2900</v>
      </c>
    </row>
    <row r="1019" spans="1:8" hidden="1" x14ac:dyDescent="0.3">
      <c r="A1019" t="s">
        <v>15</v>
      </c>
      <c r="B1019" t="s">
        <v>1792</v>
      </c>
      <c r="C1019" t="s">
        <v>1299</v>
      </c>
      <c r="D1019" t="s">
        <v>1300</v>
      </c>
      <c r="E1019" t="s">
        <v>19</v>
      </c>
      <c r="F1019">
        <v>4</v>
      </c>
      <c r="G1019">
        <v>115.616</v>
      </c>
      <c r="H1019">
        <v>462.46596</v>
      </c>
    </row>
    <row r="1020" spans="1:8" hidden="1" x14ac:dyDescent="0.3">
      <c r="A1020" t="s">
        <v>15</v>
      </c>
      <c r="B1020" t="s">
        <v>1792</v>
      </c>
      <c r="C1020" t="s">
        <v>1301</v>
      </c>
      <c r="D1020" t="s">
        <v>1302</v>
      </c>
      <c r="E1020" t="s">
        <v>293</v>
      </c>
      <c r="F1020">
        <v>20</v>
      </c>
      <c r="G1020">
        <v>92.38</v>
      </c>
      <c r="H1020">
        <v>1847.5952</v>
      </c>
    </row>
    <row r="1021" spans="1:8" hidden="1" x14ac:dyDescent="0.3">
      <c r="A1021" t="s">
        <v>15</v>
      </c>
      <c r="B1021" t="s">
        <v>1792</v>
      </c>
      <c r="C1021" t="s">
        <v>925</v>
      </c>
      <c r="D1021" t="s">
        <v>926</v>
      </c>
      <c r="E1021" t="s">
        <v>293</v>
      </c>
      <c r="F1021">
        <v>20</v>
      </c>
      <c r="G1021">
        <v>168.76</v>
      </c>
      <c r="H1021">
        <v>3375.1936000000001</v>
      </c>
    </row>
    <row r="1022" spans="1:8" hidden="1" x14ac:dyDescent="0.3">
      <c r="A1022" t="s">
        <v>15</v>
      </c>
      <c r="B1022" t="s">
        <v>1792</v>
      </c>
      <c r="C1022" t="s">
        <v>1803</v>
      </c>
      <c r="D1022" t="s">
        <v>1804</v>
      </c>
      <c r="E1022" t="s">
        <v>193</v>
      </c>
      <c r="F1022">
        <v>126</v>
      </c>
      <c r="G1022">
        <v>1361.508</v>
      </c>
      <c r="H1022">
        <v>171550</v>
      </c>
    </row>
    <row r="1023" spans="1:8" hidden="1" x14ac:dyDescent="0.3">
      <c r="A1023" t="s">
        <v>15</v>
      </c>
      <c r="B1023" t="s">
        <v>1792</v>
      </c>
      <c r="C1023" t="s">
        <v>1805</v>
      </c>
      <c r="D1023" t="s">
        <v>1806</v>
      </c>
      <c r="E1023" t="s">
        <v>19</v>
      </c>
      <c r="F1023">
        <v>1</v>
      </c>
      <c r="G1023">
        <v>310.52300000000002</v>
      </c>
      <c r="H1023">
        <v>310.52289999999999</v>
      </c>
    </row>
    <row r="1024" spans="1:8" hidden="1" x14ac:dyDescent="0.3">
      <c r="A1024" t="s">
        <v>15</v>
      </c>
      <c r="B1024" t="s">
        <v>1792</v>
      </c>
      <c r="C1024" t="s">
        <v>1807</v>
      </c>
      <c r="D1024" t="s">
        <v>1808</v>
      </c>
      <c r="E1024" t="s">
        <v>19</v>
      </c>
      <c r="F1024">
        <v>4</v>
      </c>
      <c r="G1024">
        <v>199.79499999999999</v>
      </c>
      <c r="H1024">
        <v>799.18032000000005</v>
      </c>
    </row>
    <row r="1025" spans="1:8" hidden="1" x14ac:dyDescent="0.3">
      <c r="A1025" t="s">
        <v>15</v>
      </c>
      <c r="B1025" t="s">
        <v>1792</v>
      </c>
      <c r="C1025" t="s">
        <v>1809</v>
      </c>
      <c r="D1025" t="s">
        <v>1810</v>
      </c>
      <c r="E1025" t="s">
        <v>19</v>
      </c>
      <c r="F1025">
        <v>10</v>
      </c>
      <c r="G1025">
        <v>18.260000000000002</v>
      </c>
      <c r="H1025">
        <v>182.6</v>
      </c>
    </row>
    <row r="1026" spans="1:8" hidden="1" x14ac:dyDescent="0.3">
      <c r="A1026" t="s">
        <v>15</v>
      </c>
      <c r="B1026" t="s">
        <v>1792</v>
      </c>
      <c r="C1026" t="s">
        <v>1811</v>
      </c>
      <c r="D1026" t="s">
        <v>1812</v>
      </c>
      <c r="E1026" t="s">
        <v>19</v>
      </c>
      <c r="F1026">
        <v>1</v>
      </c>
      <c r="G1026">
        <v>51911.75</v>
      </c>
      <c r="H1026">
        <v>51911.75</v>
      </c>
    </row>
    <row r="1027" spans="1:8" hidden="1" x14ac:dyDescent="0.3">
      <c r="A1027" t="s">
        <v>15</v>
      </c>
      <c r="B1027" t="s">
        <v>1792</v>
      </c>
      <c r="C1027" t="s">
        <v>960</v>
      </c>
      <c r="D1027" t="s">
        <v>961</v>
      </c>
      <c r="E1027" t="s">
        <v>293</v>
      </c>
      <c r="F1027">
        <v>20</v>
      </c>
      <c r="G1027">
        <v>116.697</v>
      </c>
      <c r="H1027">
        <v>2333.9344000000001</v>
      </c>
    </row>
    <row r="1028" spans="1:8" hidden="1" x14ac:dyDescent="0.3">
      <c r="A1028" t="s">
        <v>15</v>
      </c>
      <c r="B1028" t="s">
        <v>1792</v>
      </c>
      <c r="C1028" t="s">
        <v>1813</v>
      </c>
      <c r="D1028" t="s">
        <v>1814</v>
      </c>
      <c r="E1028" t="s">
        <v>19</v>
      </c>
      <c r="F1028">
        <v>14</v>
      </c>
      <c r="G1028">
        <v>27500</v>
      </c>
      <c r="H1028">
        <v>385000</v>
      </c>
    </row>
    <row r="1029" spans="1:8" hidden="1" x14ac:dyDescent="0.3">
      <c r="A1029" t="s">
        <v>15</v>
      </c>
      <c r="B1029" t="s">
        <v>1792</v>
      </c>
      <c r="C1029" t="s">
        <v>1815</v>
      </c>
      <c r="D1029" t="s">
        <v>1816</v>
      </c>
      <c r="E1029" t="s">
        <v>19</v>
      </c>
      <c r="F1029">
        <v>48</v>
      </c>
      <c r="G1029">
        <v>210.28649999999999</v>
      </c>
      <c r="H1029">
        <v>10093.75008</v>
      </c>
    </row>
    <row r="1030" spans="1:8" hidden="1" x14ac:dyDescent="0.3">
      <c r="A1030" t="s">
        <v>15</v>
      </c>
      <c r="B1030" t="s">
        <v>1792</v>
      </c>
      <c r="C1030" t="s">
        <v>415</v>
      </c>
      <c r="D1030" t="s">
        <v>416</v>
      </c>
      <c r="E1030" t="s">
        <v>19</v>
      </c>
      <c r="F1030">
        <v>9</v>
      </c>
      <c r="G1030">
        <v>11.194333333333301</v>
      </c>
      <c r="H1030">
        <v>100.96932</v>
      </c>
    </row>
    <row r="1031" spans="1:8" hidden="1" x14ac:dyDescent="0.3">
      <c r="A1031" t="s">
        <v>15</v>
      </c>
      <c r="B1031" t="s">
        <v>1792</v>
      </c>
      <c r="C1031" t="s">
        <v>219</v>
      </c>
      <c r="D1031" t="s">
        <v>220</v>
      </c>
      <c r="E1031" t="s">
        <v>19</v>
      </c>
      <c r="F1031">
        <v>4</v>
      </c>
      <c r="G1031">
        <v>30</v>
      </c>
      <c r="H1031">
        <v>120</v>
      </c>
    </row>
    <row r="1032" spans="1:8" hidden="1" x14ac:dyDescent="0.3">
      <c r="A1032" t="s">
        <v>15</v>
      </c>
      <c r="B1032" t="s">
        <v>1792</v>
      </c>
      <c r="C1032" t="s">
        <v>759</v>
      </c>
      <c r="D1032" t="s">
        <v>760</v>
      </c>
      <c r="E1032" t="s">
        <v>323</v>
      </c>
      <c r="F1032">
        <v>6</v>
      </c>
      <c r="G1032">
        <v>10.5</v>
      </c>
      <c r="H1032">
        <v>63</v>
      </c>
    </row>
    <row r="1033" spans="1:8" hidden="1" x14ac:dyDescent="0.3">
      <c r="A1033" t="s">
        <v>15</v>
      </c>
      <c r="B1033" t="s">
        <v>1792</v>
      </c>
      <c r="C1033" t="s">
        <v>1404</v>
      </c>
      <c r="D1033" t="s">
        <v>1405</v>
      </c>
      <c r="E1033" t="s">
        <v>19</v>
      </c>
      <c r="F1033">
        <v>6</v>
      </c>
      <c r="G1033">
        <v>2.0259999999999998</v>
      </c>
      <c r="H1033">
        <v>12.156420000000001</v>
      </c>
    </row>
    <row r="1034" spans="1:8" hidden="1" x14ac:dyDescent="0.3">
      <c r="A1034" t="s">
        <v>15</v>
      </c>
      <c r="B1034" t="s">
        <v>1792</v>
      </c>
      <c r="C1034" t="s">
        <v>1406</v>
      </c>
      <c r="D1034" t="s">
        <v>1407</v>
      </c>
      <c r="E1034" t="s">
        <v>323</v>
      </c>
      <c r="F1034">
        <v>2</v>
      </c>
      <c r="G1034">
        <v>66.619</v>
      </c>
      <c r="H1034">
        <v>133.23750000000001</v>
      </c>
    </row>
    <row r="1035" spans="1:8" hidden="1" x14ac:dyDescent="0.3">
      <c r="A1035" t="s">
        <v>15</v>
      </c>
      <c r="B1035" t="s">
        <v>1792</v>
      </c>
      <c r="C1035" t="s">
        <v>1639</v>
      </c>
      <c r="D1035" t="s">
        <v>1640</v>
      </c>
      <c r="E1035" t="s">
        <v>233</v>
      </c>
      <c r="F1035">
        <v>4</v>
      </c>
      <c r="G1035">
        <v>149.071</v>
      </c>
      <c r="H1035">
        <v>596.28327999999999</v>
      </c>
    </row>
    <row r="1036" spans="1:8" hidden="1" x14ac:dyDescent="0.3">
      <c r="A1036" t="s">
        <v>15</v>
      </c>
      <c r="B1036" t="s">
        <v>1792</v>
      </c>
      <c r="C1036" t="s">
        <v>1016</v>
      </c>
      <c r="D1036" t="s">
        <v>1017</v>
      </c>
      <c r="E1036" t="s">
        <v>233</v>
      </c>
      <c r="F1036">
        <v>10</v>
      </c>
      <c r="G1036">
        <v>166.03800000000001</v>
      </c>
      <c r="H1036">
        <v>1660.38</v>
      </c>
    </row>
    <row r="1037" spans="1:8" hidden="1" x14ac:dyDescent="0.3">
      <c r="A1037" t="s">
        <v>15</v>
      </c>
      <c r="B1037" t="s">
        <v>1792</v>
      </c>
      <c r="C1037" t="s">
        <v>1817</v>
      </c>
      <c r="D1037" t="s">
        <v>1818</v>
      </c>
      <c r="E1037" t="s">
        <v>19</v>
      </c>
      <c r="F1037">
        <v>1</v>
      </c>
      <c r="G1037">
        <v>75319.187999999995</v>
      </c>
      <c r="H1037">
        <v>75319.188080000007</v>
      </c>
    </row>
    <row r="1038" spans="1:8" hidden="1" x14ac:dyDescent="0.3">
      <c r="A1038" t="s">
        <v>15</v>
      </c>
      <c r="B1038" t="s">
        <v>1792</v>
      </c>
      <c r="C1038" t="s">
        <v>1819</v>
      </c>
      <c r="D1038" t="s">
        <v>1820</v>
      </c>
      <c r="E1038" t="s">
        <v>293</v>
      </c>
      <c r="F1038">
        <v>1</v>
      </c>
      <c r="G1038">
        <v>1858.2059999999999</v>
      </c>
      <c r="H1038">
        <v>1858.2058199999999</v>
      </c>
    </row>
    <row r="1039" spans="1:8" hidden="1" x14ac:dyDescent="0.3">
      <c r="A1039" t="s">
        <v>15</v>
      </c>
      <c r="B1039" t="s">
        <v>1792</v>
      </c>
      <c r="C1039" t="s">
        <v>1821</v>
      </c>
      <c r="D1039" t="s">
        <v>1822</v>
      </c>
      <c r="E1039" t="s">
        <v>233</v>
      </c>
      <c r="F1039">
        <v>800</v>
      </c>
      <c r="G1039">
        <v>42.081000000000003</v>
      </c>
      <c r="H1039">
        <v>33669</v>
      </c>
    </row>
    <row r="1040" spans="1:8" hidden="1" x14ac:dyDescent="0.3">
      <c r="A1040" t="s">
        <v>15</v>
      </c>
      <c r="B1040" t="s">
        <v>1792</v>
      </c>
      <c r="C1040" t="s">
        <v>1823</v>
      </c>
      <c r="D1040" t="s">
        <v>1824</v>
      </c>
      <c r="E1040" t="s">
        <v>233</v>
      </c>
      <c r="F1040">
        <v>4690</v>
      </c>
      <c r="G1040">
        <v>20.915333333333301</v>
      </c>
      <c r="H1040">
        <v>98370.004400000005</v>
      </c>
    </row>
    <row r="1041" spans="1:8" hidden="1" x14ac:dyDescent="0.3">
      <c r="A1041" t="s">
        <v>15</v>
      </c>
      <c r="B1041" t="s">
        <v>1792</v>
      </c>
      <c r="C1041" t="s">
        <v>1825</v>
      </c>
      <c r="D1041" t="s">
        <v>1826</v>
      </c>
      <c r="E1041" t="s">
        <v>233</v>
      </c>
      <c r="F1041">
        <v>3900</v>
      </c>
      <c r="G1041">
        <v>9</v>
      </c>
      <c r="H1041">
        <v>35100</v>
      </c>
    </row>
    <row r="1042" spans="1:8" hidden="1" x14ac:dyDescent="0.3">
      <c r="A1042" t="s">
        <v>15</v>
      </c>
      <c r="B1042" t="s">
        <v>1792</v>
      </c>
      <c r="C1042" t="s">
        <v>1827</v>
      </c>
      <c r="D1042" t="s">
        <v>1828</v>
      </c>
      <c r="E1042" t="s">
        <v>233</v>
      </c>
      <c r="F1042">
        <v>150</v>
      </c>
      <c r="G1042">
        <v>82.863</v>
      </c>
      <c r="H1042">
        <v>12429.495000000001</v>
      </c>
    </row>
    <row r="1043" spans="1:8" hidden="1" x14ac:dyDescent="0.3">
      <c r="A1043" t="s">
        <v>15</v>
      </c>
      <c r="B1043" t="s">
        <v>1792</v>
      </c>
      <c r="C1043" t="s">
        <v>1829</v>
      </c>
      <c r="D1043" t="s">
        <v>1830</v>
      </c>
      <c r="E1043" t="s">
        <v>233</v>
      </c>
      <c r="F1043">
        <v>270</v>
      </c>
      <c r="G1043">
        <v>373.846</v>
      </c>
      <c r="H1043">
        <v>100938.40919999999</v>
      </c>
    </row>
    <row r="1044" spans="1:8" hidden="1" x14ac:dyDescent="0.3">
      <c r="A1044" t="s">
        <v>15</v>
      </c>
      <c r="B1044" t="s">
        <v>1792</v>
      </c>
      <c r="C1044" t="s">
        <v>1831</v>
      </c>
      <c r="D1044" t="s">
        <v>1832</v>
      </c>
      <c r="E1044" t="s">
        <v>19</v>
      </c>
      <c r="F1044">
        <v>1</v>
      </c>
      <c r="G1044">
        <v>910</v>
      </c>
      <c r="H1044">
        <v>910</v>
      </c>
    </row>
    <row r="1045" spans="1:8" hidden="1" x14ac:dyDescent="0.3">
      <c r="A1045" t="s">
        <v>15</v>
      </c>
      <c r="B1045" t="s">
        <v>1792</v>
      </c>
      <c r="C1045" t="s">
        <v>269</v>
      </c>
      <c r="D1045" t="s">
        <v>270</v>
      </c>
      <c r="E1045" t="s">
        <v>244</v>
      </c>
      <c r="F1045">
        <v>4</v>
      </c>
      <c r="G1045">
        <v>288.45999999999998</v>
      </c>
      <c r="H1045">
        <v>1153.8387600000001</v>
      </c>
    </row>
    <row r="1046" spans="1:8" hidden="1" x14ac:dyDescent="0.3">
      <c r="A1046" t="s">
        <v>15</v>
      </c>
      <c r="B1046" t="s">
        <v>1792</v>
      </c>
      <c r="C1046" t="s">
        <v>273</v>
      </c>
      <c r="D1046" t="s">
        <v>274</v>
      </c>
      <c r="E1046" t="s">
        <v>19</v>
      </c>
      <c r="F1046">
        <v>2</v>
      </c>
      <c r="G1046">
        <v>12.14</v>
      </c>
      <c r="H1046">
        <v>24.279060000000001</v>
      </c>
    </row>
    <row r="1047" spans="1:8" hidden="1" x14ac:dyDescent="0.3">
      <c r="A1047" t="s">
        <v>15</v>
      </c>
      <c r="B1047" t="s">
        <v>1792</v>
      </c>
      <c r="C1047" t="s">
        <v>1072</v>
      </c>
      <c r="D1047" t="s">
        <v>1073</v>
      </c>
      <c r="E1047" t="s">
        <v>19</v>
      </c>
      <c r="F1047">
        <v>2</v>
      </c>
      <c r="G1047">
        <v>2.6429999999999998</v>
      </c>
      <c r="H1047">
        <v>5.28512</v>
      </c>
    </row>
    <row r="1048" spans="1:8" hidden="1" x14ac:dyDescent="0.3">
      <c r="A1048" t="s">
        <v>15</v>
      </c>
      <c r="B1048" t="s">
        <v>1792</v>
      </c>
      <c r="C1048" t="s">
        <v>1833</v>
      </c>
      <c r="D1048" t="s">
        <v>1834</v>
      </c>
      <c r="E1048" t="s">
        <v>19</v>
      </c>
      <c r="F1048">
        <v>2</v>
      </c>
      <c r="G1048">
        <v>809.18600000000004</v>
      </c>
      <c r="H1048">
        <v>1618.37104</v>
      </c>
    </row>
    <row r="1049" spans="1:8" hidden="1" x14ac:dyDescent="0.3">
      <c r="A1049" t="s">
        <v>15</v>
      </c>
      <c r="B1049" t="s">
        <v>1792</v>
      </c>
      <c r="C1049" t="s">
        <v>1835</v>
      </c>
      <c r="D1049" t="s">
        <v>1836</v>
      </c>
      <c r="E1049" t="s">
        <v>193</v>
      </c>
      <c r="F1049">
        <v>1</v>
      </c>
      <c r="G1049">
        <v>535</v>
      </c>
      <c r="H1049">
        <v>535</v>
      </c>
    </row>
    <row r="1050" spans="1:8" hidden="1" x14ac:dyDescent="0.3">
      <c r="A1050" t="s">
        <v>15</v>
      </c>
      <c r="B1050" t="s">
        <v>1792</v>
      </c>
      <c r="C1050" t="s">
        <v>1837</v>
      </c>
      <c r="D1050" t="s">
        <v>1838</v>
      </c>
      <c r="E1050" t="s">
        <v>19</v>
      </c>
      <c r="F1050">
        <v>10</v>
      </c>
      <c r="G1050">
        <v>60.264000000000003</v>
      </c>
      <c r="H1050">
        <v>602.64490000000001</v>
      </c>
    </row>
    <row r="1051" spans="1:8" hidden="1" x14ac:dyDescent="0.3">
      <c r="A1051" t="s">
        <v>15</v>
      </c>
      <c r="B1051" t="s">
        <v>1792</v>
      </c>
      <c r="C1051" t="s">
        <v>1839</v>
      </c>
      <c r="D1051" t="s">
        <v>1840</v>
      </c>
      <c r="E1051" t="s">
        <v>19</v>
      </c>
      <c r="F1051">
        <v>10</v>
      </c>
      <c r="G1051">
        <v>20.75</v>
      </c>
      <c r="H1051">
        <v>207.5</v>
      </c>
    </row>
  </sheetData>
  <autoFilter ref="A6:H1051" xr:uid="{65501EB2-AC31-4CA7-BB9A-1C757C08F9E6}">
    <filterColumn colId="1">
      <filters>
        <filter val="PRODUCTION - IF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E69B-CDD5-44AA-8188-234B009E3536}">
  <dimension ref="A1:I6"/>
  <sheetViews>
    <sheetView workbookViewId="0">
      <selection activeCell="H6" sqref="H6"/>
    </sheetView>
  </sheetViews>
  <sheetFormatPr defaultRowHeight="14.4" x14ac:dyDescent="0.3"/>
  <cols>
    <col min="1" max="1" width="8.21875" customWidth="1"/>
    <col min="2" max="2" width="19.21875" customWidth="1"/>
    <col min="3" max="3" width="11.6640625" bestFit="1" customWidth="1"/>
    <col min="4" max="4" width="68.44140625" customWidth="1"/>
    <col min="5" max="5" width="12" bestFit="1" customWidth="1"/>
    <col min="6" max="6" width="6.21875" bestFit="1" customWidth="1"/>
    <col min="7" max="7" width="17.44140625" bestFit="1" customWidth="1"/>
    <col min="8" max="8" width="18.33203125" bestFit="1" customWidth="1"/>
    <col min="9" max="9" width="19.109375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  <c r="B2" t="s">
        <v>16</v>
      </c>
      <c r="C2" t="s">
        <v>152</v>
      </c>
      <c r="D2" t="s">
        <v>153</v>
      </c>
      <c r="E2" t="s">
        <v>154</v>
      </c>
      <c r="F2" t="s">
        <v>19</v>
      </c>
      <c r="G2">
        <v>1</v>
      </c>
      <c r="H2">
        <v>3983051</v>
      </c>
      <c r="I2">
        <v>3983051</v>
      </c>
    </row>
    <row r="3" spans="1:9" x14ac:dyDescent="0.3">
      <c r="A3" t="s">
        <v>15</v>
      </c>
      <c r="B3" t="s">
        <v>354</v>
      </c>
      <c r="C3" t="s">
        <v>507</v>
      </c>
      <c r="D3" t="s">
        <v>508</v>
      </c>
      <c r="E3" t="s">
        <v>154</v>
      </c>
      <c r="F3" t="s">
        <v>19</v>
      </c>
      <c r="G3">
        <v>2</v>
      </c>
      <c r="H3">
        <v>126.3</v>
      </c>
      <c r="I3">
        <v>252.6</v>
      </c>
    </row>
    <row r="4" spans="1:9" x14ac:dyDescent="0.3">
      <c r="A4" t="s">
        <v>15</v>
      </c>
      <c r="B4" t="s">
        <v>354</v>
      </c>
      <c r="C4" t="s">
        <v>633</v>
      </c>
      <c r="D4" t="s">
        <v>634</v>
      </c>
      <c r="E4" t="s">
        <v>154</v>
      </c>
      <c r="F4" t="s">
        <v>19</v>
      </c>
      <c r="G4">
        <v>2</v>
      </c>
      <c r="H4">
        <v>1500000</v>
      </c>
      <c r="I4">
        <v>3000000</v>
      </c>
    </row>
    <row r="5" spans="1:9" x14ac:dyDescent="0.3">
      <c r="A5" t="s">
        <v>15</v>
      </c>
      <c r="B5" t="s">
        <v>354</v>
      </c>
      <c r="C5" t="s">
        <v>773</v>
      </c>
      <c r="D5" t="s">
        <v>774</v>
      </c>
      <c r="E5" t="s">
        <v>154</v>
      </c>
      <c r="F5" t="s">
        <v>19</v>
      </c>
      <c r="G5">
        <v>1</v>
      </c>
      <c r="H5">
        <v>195000</v>
      </c>
      <c r="I5">
        <v>195000</v>
      </c>
    </row>
    <row r="6" spans="1:9" x14ac:dyDescent="0.3">
      <c r="A6" t="s">
        <v>15</v>
      </c>
      <c r="B6" t="s">
        <v>1620</v>
      </c>
      <c r="C6" t="s">
        <v>1643</v>
      </c>
      <c r="D6" t="s">
        <v>1644</v>
      </c>
      <c r="E6" t="s">
        <v>154</v>
      </c>
      <c r="F6" t="s">
        <v>830</v>
      </c>
      <c r="G6">
        <v>0.90600000000000003</v>
      </c>
      <c r="H6">
        <v>42926.85</v>
      </c>
      <c r="I6">
        <v>38891.726210000001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E89E-E5C7-4DCC-82E7-CC8B8BEE7951}">
  <dimension ref="A1:M20"/>
  <sheetViews>
    <sheetView workbookViewId="0">
      <selection activeCell="C17" sqref="C17"/>
    </sheetView>
  </sheetViews>
  <sheetFormatPr defaultRowHeight="14.4" x14ac:dyDescent="0.3"/>
  <cols>
    <col min="1" max="1" width="41.6640625" customWidth="1"/>
    <col min="2" max="2" width="9.6640625" bestFit="1" customWidth="1"/>
    <col min="3" max="3" width="101.33203125" bestFit="1" customWidth="1"/>
    <col min="4" max="4" width="25.88671875" customWidth="1"/>
    <col min="5" max="5" width="24.6640625" customWidth="1"/>
    <col min="6" max="6" width="13.77734375" bestFit="1" customWidth="1"/>
    <col min="7" max="7" width="13.77734375" customWidth="1"/>
    <col min="8" max="8" width="18.5546875" bestFit="1" customWidth="1"/>
    <col min="9" max="9" width="13.77734375" customWidth="1"/>
    <col min="10" max="10" width="35.21875" customWidth="1"/>
    <col min="11" max="11" width="13.109375" bestFit="1" customWidth="1"/>
    <col min="13" max="13" width="10.44140625" bestFit="1" customWidth="1"/>
    <col min="14" max="14" width="12.44140625" bestFit="1" customWidth="1"/>
  </cols>
  <sheetData>
    <row r="1" spans="1:10" x14ac:dyDescent="0.3">
      <c r="A1" s="11" t="s">
        <v>7</v>
      </c>
      <c r="B1" s="11" t="s">
        <v>8</v>
      </c>
      <c r="C1" s="11" t="s">
        <v>9</v>
      </c>
      <c r="D1" s="11" t="s">
        <v>1847</v>
      </c>
      <c r="E1" s="11" t="s">
        <v>1848</v>
      </c>
      <c r="F1" s="11" t="s">
        <v>1883</v>
      </c>
      <c r="G1" s="11" t="s">
        <v>1884</v>
      </c>
      <c r="H1" s="11" t="s">
        <v>1885</v>
      </c>
      <c r="I1" s="11" t="s">
        <v>1886</v>
      </c>
    </row>
    <row r="2" spans="1:10" x14ac:dyDescent="0.3">
      <c r="A2" s="72" t="s">
        <v>16</v>
      </c>
      <c r="B2" s="12" t="s">
        <v>1849</v>
      </c>
      <c r="C2" s="12" t="s">
        <v>1850</v>
      </c>
      <c r="D2" s="13">
        <v>317450</v>
      </c>
      <c r="E2" s="65">
        <f>SUM(D2:D8)</f>
        <v>517894</v>
      </c>
      <c r="F2" s="65">
        <f>'[1]Automobile SMS '!$L$5/4</f>
        <v>462133.92950000014</v>
      </c>
      <c r="G2" s="65"/>
      <c r="H2" s="65">
        <f>G2+F2</f>
        <v>462133.92950000014</v>
      </c>
      <c r="I2" s="70">
        <f>H2-E2</f>
        <v>-55760.070499999856</v>
      </c>
    </row>
    <row r="3" spans="1:10" x14ac:dyDescent="0.3">
      <c r="A3" s="72"/>
      <c r="B3" s="12" t="s">
        <v>1851</v>
      </c>
      <c r="C3" s="12" t="s">
        <v>1852</v>
      </c>
      <c r="D3" s="13">
        <v>26200</v>
      </c>
      <c r="E3" s="65"/>
      <c r="F3" s="65"/>
      <c r="G3" s="65"/>
      <c r="H3" s="65"/>
      <c r="I3" s="70"/>
    </row>
    <row r="4" spans="1:10" x14ac:dyDescent="0.3">
      <c r="A4" s="72"/>
      <c r="B4" s="12" t="s">
        <v>1853</v>
      </c>
      <c r="C4" s="12" t="s">
        <v>1854</v>
      </c>
      <c r="D4" s="13">
        <v>11000</v>
      </c>
      <c r="E4" s="65"/>
      <c r="F4" s="65"/>
      <c r="G4" s="65"/>
      <c r="H4" s="65"/>
      <c r="I4" s="70"/>
    </row>
    <row r="5" spans="1:10" x14ac:dyDescent="0.3">
      <c r="A5" s="72"/>
      <c r="B5" s="12" t="s">
        <v>1855</v>
      </c>
      <c r="C5" s="12" t="s">
        <v>1856</v>
      </c>
      <c r="D5" s="13">
        <v>30200</v>
      </c>
      <c r="E5" s="65"/>
      <c r="F5" s="65"/>
      <c r="G5" s="65"/>
      <c r="H5" s="65"/>
      <c r="I5" s="70"/>
    </row>
    <row r="6" spans="1:10" x14ac:dyDescent="0.3">
      <c r="A6" s="72"/>
      <c r="B6" s="12" t="s">
        <v>1857</v>
      </c>
      <c r="C6" s="12" t="s">
        <v>1858</v>
      </c>
      <c r="D6" s="13">
        <v>65844</v>
      </c>
      <c r="E6" s="65"/>
      <c r="F6" s="65"/>
      <c r="G6" s="65"/>
      <c r="H6" s="65"/>
      <c r="I6" s="70"/>
    </row>
    <row r="7" spans="1:10" x14ac:dyDescent="0.3">
      <c r="A7" s="72"/>
      <c r="B7" s="12" t="s">
        <v>1859</v>
      </c>
      <c r="C7" s="12" t="s">
        <v>1860</v>
      </c>
      <c r="D7" s="13">
        <v>47200</v>
      </c>
      <c r="E7" s="65"/>
      <c r="F7" s="65"/>
      <c r="G7" s="65"/>
      <c r="H7" s="65"/>
      <c r="I7" s="70"/>
    </row>
    <row r="8" spans="1:10" x14ac:dyDescent="0.3">
      <c r="A8" s="72"/>
      <c r="B8" s="12" t="s">
        <v>1861</v>
      </c>
      <c r="C8" s="12" t="s">
        <v>1862</v>
      </c>
      <c r="D8" s="13">
        <v>20000</v>
      </c>
      <c r="E8" s="65"/>
      <c r="F8" s="65"/>
      <c r="G8" s="65"/>
      <c r="H8" s="65"/>
      <c r="I8" s="70"/>
    </row>
    <row r="9" spans="1:10" s="17" customFormat="1" ht="28.2" customHeight="1" x14ac:dyDescent="0.3">
      <c r="A9" s="14" t="s">
        <v>354</v>
      </c>
      <c r="B9" s="15" t="s">
        <v>1863</v>
      </c>
      <c r="C9" s="15" t="s">
        <v>1864</v>
      </c>
      <c r="D9" s="13">
        <v>513300</v>
      </c>
      <c r="E9" s="16">
        <f>D9</f>
        <v>513300</v>
      </c>
      <c r="F9" s="20">
        <f>'[1]E &amp; I'!$I$6/4</f>
        <v>676720.25</v>
      </c>
      <c r="G9" s="20"/>
      <c r="H9" s="20">
        <f>G9+F9</f>
        <v>676720.25</v>
      </c>
      <c r="I9" s="20">
        <f>H9-E9</f>
        <v>163420.25</v>
      </c>
    </row>
    <row r="10" spans="1:10" x14ac:dyDescent="0.3">
      <c r="A10" s="72" t="s">
        <v>827</v>
      </c>
      <c r="B10" s="12" t="s">
        <v>1865</v>
      </c>
      <c r="C10" s="12" t="s">
        <v>1866</v>
      </c>
      <c r="D10" s="13">
        <v>45961</v>
      </c>
      <c r="E10" s="66">
        <f>D11+D10</f>
        <v>105165.06</v>
      </c>
      <c r="F10" s="66">
        <f>'[1]Mechanical-CCM'!$I$8/4</f>
        <v>85687.5</v>
      </c>
      <c r="G10" s="66"/>
      <c r="H10" s="66">
        <f>G10+F10</f>
        <v>85687.5</v>
      </c>
      <c r="I10" s="71">
        <f>H10-E10</f>
        <v>-19477.559999999998</v>
      </c>
    </row>
    <row r="11" spans="1:10" x14ac:dyDescent="0.3">
      <c r="A11" s="72"/>
      <c r="B11" s="12" t="s">
        <v>1867</v>
      </c>
      <c r="C11" s="12" t="s">
        <v>1868</v>
      </c>
      <c r="D11" s="13">
        <v>59204.06</v>
      </c>
      <c r="E11" s="66"/>
      <c r="F11" s="66"/>
      <c r="G11" s="66"/>
      <c r="H11" s="66"/>
      <c r="I11" s="71"/>
    </row>
    <row r="12" spans="1:10" x14ac:dyDescent="0.3">
      <c r="A12" s="72" t="s">
        <v>1140</v>
      </c>
      <c r="B12" s="12" t="s">
        <v>1869</v>
      </c>
      <c r="C12" s="12" t="s">
        <v>1870</v>
      </c>
      <c r="D12" s="13">
        <v>15340</v>
      </c>
      <c r="E12" s="66">
        <f>D12+D14+D15+D16+D17+D13</f>
        <v>1125786</v>
      </c>
      <c r="F12" s="66">
        <f>('[1]Mechanical-IF'!$K$8+[1]COSMA!$J$6)/4</f>
        <v>186612.5</v>
      </c>
      <c r="G12" s="66">
        <f>'[1]Mechanical-IF'!$H$1390+'[1]Mechanical-IF'!$H$1399+'[1]Mechanical-IF'!$H$1403</f>
        <v>243800</v>
      </c>
      <c r="H12" s="67">
        <f>G12+F12</f>
        <v>430412.5</v>
      </c>
      <c r="I12" s="71">
        <f>H12-E12</f>
        <v>-695373.5</v>
      </c>
    </row>
    <row r="13" spans="1:10" x14ac:dyDescent="0.3">
      <c r="A13" s="72"/>
      <c r="B13" s="12" t="s">
        <v>1871</v>
      </c>
      <c r="C13" s="21" t="s">
        <v>1872</v>
      </c>
      <c r="D13" s="13">
        <v>188512</v>
      </c>
      <c r="E13" s="66"/>
      <c r="F13" s="66"/>
      <c r="G13" s="66"/>
      <c r="H13" s="68"/>
      <c r="I13" s="71"/>
    </row>
    <row r="14" spans="1:10" x14ac:dyDescent="0.3">
      <c r="A14" s="72"/>
      <c r="B14" s="12" t="s">
        <v>1873</v>
      </c>
      <c r="C14" s="12" t="s">
        <v>1874</v>
      </c>
      <c r="D14" s="13">
        <v>101834</v>
      </c>
      <c r="E14" s="66"/>
      <c r="F14" s="66"/>
      <c r="G14" s="66"/>
      <c r="H14" s="68"/>
      <c r="I14" s="71"/>
      <c r="J14" s="10"/>
    </row>
    <row r="15" spans="1:10" x14ac:dyDescent="0.3">
      <c r="A15" s="72"/>
      <c r="B15" s="12" t="s">
        <v>1875</v>
      </c>
      <c r="C15" s="12" t="s">
        <v>1876</v>
      </c>
      <c r="D15" s="13">
        <v>289100</v>
      </c>
      <c r="E15" s="66"/>
      <c r="F15" s="66"/>
      <c r="G15" s="66"/>
      <c r="H15" s="68"/>
      <c r="I15" s="71"/>
      <c r="J15" s="10"/>
    </row>
    <row r="16" spans="1:10" x14ac:dyDescent="0.3">
      <c r="A16" s="72"/>
      <c r="B16" s="12" t="s">
        <v>1877</v>
      </c>
      <c r="C16" s="12" t="s">
        <v>1878</v>
      </c>
      <c r="D16" s="13">
        <v>342200</v>
      </c>
      <c r="E16" s="66"/>
      <c r="F16" s="66"/>
      <c r="G16" s="66"/>
      <c r="H16" s="68"/>
      <c r="I16" s="71"/>
    </row>
    <row r="17" spans="1:13" x14ac:dyDescent="0.3">
      <c r="A17" s="72"/>
      <c r="B17" s="12" t="s">
        <v>1879</v>
      </c>
      <c r="C17" s="12" t="s">
        <v>1880</v>
      </c>
      <c r="D17" s="13">
        <v>188800</v>
      </c>
      <c r="E17" s="66"/>
      <c r="F17" s="66"/>
      <c r="G17" s="66"/>
      <c r="H17" s="69"/>
      <c r="I17" s="71"/>
    </row>
    <row r="18" spans="1:13" ht="64.8" customHeight="1" x14ac:dyDescent="0.3">
      <c r="A18" s="11" t="s">
        <v>1620</v>
      </c>
      <c r="B18" s="12" t="s">
        <v>1881</v>
      </c>
      <c r="C18" s="12" t="s">
        <v>1882</v>
      </c>
      <c r="D18" s="13">
        <v>1451800.89</v>
      </c>
      <c r="E18" s="16">
        <f>D18</f>
        <v>1451800.89</v>
      </c>
      <c r="F18" s="16">
        <f>'[1]Production-IF'!$I$6/4</f>
        <v>553000</v>
      </c>
      <c r="G18" s="16"/>
      <c r="H18" s="16">
        <f>G18+F18</f>
        <v>553000</v>
      </c>
      <c r="I18" s="23">
        <f>H18-E18</f>
        <v>-898800.8899999999</v>
      </c>
      <c r="J18" s="73" t="s">
        <v>1913</v>
      </c>
    </row>
    <row r="19" spans="1:13" x14ac:dyDescent="0.3">
      <c r="A19" s="11" t="s">
        <v>1841</v>
      </c>
      <c r="B19" s="12"/>
      <c r="C19" s="12"/>
      <c r="D19" s="18">
        <v>5874384.25</v>
      </c>
      <c r="E19" s="16">
        <f>SUM(E2:E18)</f>
        <v>3713945.95</v>
      </c>
      <c r="F19" s="19"/>
      <c r="G19" s="19"/>
      <c r="H19" s="16">
        <f>SUM(H2:H18)</f>
        <v>2207954.1795000001</v>
      </c>
      <c r="I19" s="16">
        <f>SUM(I2:I18)</f>
        <v>-1505991.7704999996</v>
      </c>
      <c r="J19" s="8"/>
      <c r="K19" s="8"/>
      <c r="L19" s="10"/>
      <c r="M19" s="10"/>
    </row>
    <row r="20" spans="1:13" x14ac:dyDescent="0.3">
      <c r="M20" s="10"/>
    </row>
  </sheetData>
  <mergeCells count="18">
    <mergeCell ref="A2:A8"/>
    <mergeCell ref="E2:E8"/>
    <mergeCell ref="A10:A11"/>
    <mergeCell ref="E10:E11"/>
    <mergeCell ref="A12:A17"/>
    <mergeCell ref="E12:E17"/>
    <mergeCell ref="F2:F8"/>
    <mergeCell ref="F10:F11"/>
    <mergeCell ref="F12:F17"/>
    <mergeCell ref="G12:G17"/>
    <mergeCell ref="G2:G8"/>
    <mergeCell ref="G10:G11"/>
    <mergeCell ref="H2:H8"/>
    <mergeCell ref="H10:H11"/>
    <mergeCell ref="H12:H17"/>
    <mergeCell ref="I2:I8"/>
    <mergeCell ref="I10:I11"/>
    <mergeCell ref="I12:I17"/>
  </mergeCells>
  <pageMargins left="0.7" right="0.7" top="0.75" bottom="0.75" header="0.3" footer="0.3"/>
  <ignoredErrors>
    <ignoredError sqref="E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7DE9-1A1D-4E70-B26E-EF3EE7578FD6}">
  <dimension ref="A1:N47"/>
  <sheetViews>
    <sheetView tabSelected="1" workbookViewId="0">
      <selection activeCell="J11" sqref="J11"/>
    </sheetView>
  </sheetViews>
  <sheetFormatPr defaultRowHeight="14.4" x14ac:dyDescent="0.3"/>
  <cols>
    <col min="1" max="1" width="10.109375" style="32" bestFit="1" customWidth="1"/>
    <col min="2" max="2" width="63.44140625" style="32" bestFit="1" customWidth="1"/>
    <col min="3" max="3" width="11.109375" style="32" bestFit="1" customWidth="1"/>
    <col min="4" max="4" width="16" style="32" bestFit="1" customWidth="1"/>
    <col min="5" max="5" width="16.77734375" style="32" bestFit="1" customWidth="1"/>
    <col min="6" max="6" width="17.88671875" style="32" bestFit="1" customWidth="1"/>
    <col min="7" max="7" width="9.5546875" style="32" bestFit="1" customWidth="1"/>
    <col min="8" max="8" width="12.109375" style="32" bestFit="1" customWidth="1"/>
    <col min="9" max="9" width="12.44140625" style="32" bestFit="1" customWidth="1"/>
    <col min="10" max="10" width="12.33203125" style="32" customWidth="1"/>
    <col min="11" max="11" width="13" style="32" bestFit="1" customWidth="1"/>
    <col min="12" max="12" width="14.109375" style="32" bestFit="1" customWidth="1"/>
    <col min="13" max="13" width="14" style="32" customWidth="1"/>
    <col min="14" max="14" width="72.44140625" style="32" bestFit="1" customWidth="1"/>
    <col min="15" max="16384" width="8.88671875" style="32"/>
  </cols>
  <sheetData>
    <row r="1" spans="1:14" x14ac:dyDescent="0.3">
      <c r="C1" s="25" t="s">
        <v>1905</v>
      </c>
      <c r="D1" s="26" t="s">
        <v>1903</v>
      </c>
      <c r="E1" s="26" t="s">
        <v>1904</v>
      </c>
      <c r="F1" s="27" t="s">
        <v>1845</v>
      </c>
    </row>
    <row r="2" spans="1:14" ht="15" thickBot="1" x14ac:dyDescent="0.35">
      <c r="C2" s="28" t="s">
        <v>1887</v>
      </c>
      <c r="D2" s="29">
        <v>36239.980000000003</v>
      </c>
      <c r="E2" s="30">
        <v>33352.296659555192</v>
      </c>
      <c r="F2" s="31">
        <f>D2-E2</f>
        <v>2887.6833404448116</v>
      </c>
    </row>
    <row r="3" spans="1:14" ht="15" thickBot="1" x14ac:dyDescent="0.35">
      <c r="C3" s="51" t="s">
        <v>1888</v>
      </c>
      <c r="D3" s="52">
        <v>1095</v>
      </c>
      <c r="E3" s="52">
        <v>996</v>
      </c>
      <c r="F3" s="53">
        <f>D3-E3</f>
        <v>99</v>
      </c>
      <c r="H3" s="61" t="s">
        <v>1895</v>
      </c>
      <c r="I3" s="62">
        <f>SUM(I6:I46)</f>
        <v>328769.15213724162</v>
      </c>
      <c r="J3" s="62"/>
      <c r="K3" s="63"/>
      <c r="L3" s="62">
        <f>SUM(L5:L46)</f>
        <v>324424.49910571228</v>
      </c>
      <c r="M3" s="64">
        <f>SUM(M5:M46)</f>
        <v>653193.65124295384</v>
      </c>
    </row>
    <row r="4" spans="1:14" ht="57.6" x14ac:dyDescent="0.3">
      <c r="A4" s="33" t="s">
        <v>8</v>
      </c>
      <c r="B4" s="34" t="s">
        <v>9</v>
      </c>
      <c r="C4" s="34" t="s">
        <v>11</v>
      </c>
      <c r="D4" s="36" t="s">
        <v>1910</v>
      </c>
      <c r="E4" s="34" t="s">
        <v>13</v>
      </c>
      <c r="F4" s="34" t="s">
        <v>14</v>
      </c>
      <c r="G4" s="34" t="s">
        <v>1889</v>
      </c>
      <c r="H4" s="35" t="s">
        <v>1845</v>
      </c>
      <c r="I4" s="50" t="s">
        <v>1901</v>
      </c>
      <c r="J4" s="50" t="s">
        <v>1909</v>
      </c>
      <c r="K4" s="50" t="s">
        <v>1892</v>
      </c>
      <c r="L4" s="50" t="s">
        <v>1911</v>
      </c>
      <c r="M4" s="50" t="s">
        <v>1912</v>
      </c>
      <c r="N4" s="37" t="s">
        <v>1890</v>
      </c>
    </row>
    <row r="5" spans="1:14" x14ac:dyDescent="0.3">
      <c r="A5" s="38" t="s">
        <v>1621</v>
      </c>
      <c r="B5" s="39" t="s">
        <v>1622</v>
      </c>
      <c r="C5" s="39" t="s">
        <v>830</v>
      </c>
      <c r="D5" s="54">
        <v>0.05</v>
      </c>
      <c r="E5" s="54">
        <v>107000</v>
      </c>
      <c r="F5" s="54">
        <v>5350</v>
      </c>
      <c r="G5" s="54"/>
      <c r="H5" s="54"/>
      <c r="I5" s="54"/>
      <c r="J5" s="54"/>
      <c r="K5" s="54"/>
      <c r="L5" s="54"/>
      <c r="M5" s="54">
        <f>I5+L5</f>
        <v>0</v>
      </c>
      <c r="N5" s="40"/>
    </row>
    <row r="6" spans="1:14" x14ac:dyDescent="0.3">
      <c r="A6" s="41" t="s">
        <v>1623</v>
      </c>
      <c r="B6" s="42" t="s">
        <v>1624</v>
      </c>
      <c r="C6" s="42" t="s">
        <v>830</v>
      </c>
      <c r="D6" s="44">
        <v>3.77</v>
      </c>
      <c r="E6" s="44">
        <v>337144.99988297798</v>
      </c>
      <c r="F6" s="44">
        <v>1271508.9998999999</v>
      </c>
      <c r="G6" s="55">
        <v>267000</v>
      </c>
      <c r="H6" s="44">
        <f>E6-G6</f>
        <v>70144.99988297798</v>
      </c>
      <c r="I6" s="44">
        <f>H6*D6</f>
        <v>264446.64955882699</v>
      </c>
      <c r="J6" s="44">
        <v>3.6240000000000001</v>
      </c>
      <c r="K6" s="44">
        <f>D6-J6</f>
        <v>0.14599999999999991</v>
      </c>
      <c r="L6" s="44">
        <f>K6*E6</f>
        <v>49223.169982914755</v>
      </c>
      <c r="M6" s="54">
        <f t="shared" ref="M6:M46" si="0">I6+L6</f>
        <v>313669.81954174174</v>
      </c>
      <c r="N6" s="24" t="s">
        <v>1897</v>
      </c>
    </row>
    <row r="7" spans="1:14" x14ac:dyDescent="0.3">
      <c r="A7" s="38" t="s">
        <v>1625</v>
      </c>
      <c r="B7" s="39" t="s">
        <v>1626</v>
      </c>
      <c r="C7" s="39" t="s">
        <v>233</v>
      </c>
      <c r="D7" s="54">
        <v>543000</v>
      </c>
      <c r="E7" s="54">
        <v>9.5</v>
      </c>
      <c r="F7" s="54">
        <v>5158500</v>
      </c>
      <c r="G7" s="54"/>
      <c r="H7" s="54"/>
      <c r="I7" s="54"/>
      <c r="J7" s="54"/>
      <c r="K7" s="54"/>
      <c r="L7" s="44">
        <f t="shared" ref="L7:L46" si="1">K7*E7</f>
        <v>0</v>
      </c>
      <c r="M7" s="54">
        <f t="shared" si="0"/>
        <v>0</v>
      </c>
      <c r="N7" s="40"/>
    </row>
    <row r="8" spans="1:14" x14ac:dyDescent="0.3">
      <c r="A8" s="41" t="s">
        <v>921</v>
      </c>
      <c r="B8" s="42" t="s">
        <v>922</v>
      </c>
      <c r="C8" s="42" t="s">
        <v>293</v>
      </c>
      <c r="D8" s="44">
        <v>20</v>
      </c>
      <c r="E8" s="44">
        <v>171.61500000000001</v>
      </c>
      <c r="F8" s="44">
        <v>3432.2928000000002</v>
      </c>
      <c r="G8" s="44"/>
      <c r="H8" s="44"/>
      <c r="I8" s="44"/>
      <c r="J8" s="44">
        <v>0</v>
      </c>
      <c r="K8" s="44">
        <v>20</v>
      </c>
      <c r="L8" s="44">
        <f t="shared" si="1"/>
        <v>3432.3</v>
      </c>
      <c r="M8" s="54">
        <f t="shared" si="0"/>
        <v>3432.3</v>
      </c>
      <c r="N8" s="24" t="s">
        <v>1899</v>
      </c>
    </row>
    <row r="9" spans="1:14" x14ac:dyDescent="0.3">
      <c r="A9" s="38" t="s">
        <v>395</v>
      </c>
      <c r="B9" s="39" t="s">
        <v>396</v>
      </c>
      <c r="C9" s="39" t="s">
        <v>19</v>
      </c>
      <c r="D9" s="54">
        <v>4</v>
      </c>
      <c r="E9" s="54">
        <v>41.962000000000003</v>
      </c>
      <c r="F9" s="54">
        <v>167.84652</v>
      </c>
      <c r="G9" s="54"/>
      <c r="H9" s="54"/>
      <c r="I9" s="54"/>
      <c r="J9" s="54"/>
      <c r="K9" s="54"/>
      <c r="L9" s="44">
        <f t="shared" si="1"/>
        <v>0</v>
      </c>
      <c r="M9" s="54">
        <f t="shared" si="0"/>
        <v>0</v>
      </c>
      <c r="N9" s="40"/>
    </row>
    <row r="10" spans="1:14" x14ac:dyDescent="0.3">
      <c r="A10" s="38" t="s">
        <v>1627</v>
      </c>
      <c r="B10" s="39" t="s">
        <v>1628</v>
      </c>
      <c r="C10" s="39" t="s">
        <v>193</v>
      </c>
      <c r="D10" s="54">
        <v>6</v>
      </c>
      <c r="E10" s="54">
        <v>16563.883999999998</v>
      </c>
      <c r="F10" s="54">
        <v>99383.305259999994</v>
      </c>
      <c r="G10" s="54">
        <v>15409</v>
      </c>
      <c r="H10" s="54">
        <f>E10-G10</f>
        <v>1154.8839999999982</v>
      </c>
      <c r="I10" s="54">
        <f>H10*D10</f>
        <v>6929.3039999999892</v>
      </c>
      <c r="J10" s="54"/>
      <c r="K10" s="54"/>
      <c r="L10" s="44">
        <f t="shared" si="1"/>
        <v>0</v>
      </c>
      <c r="M10" s="54">
        <f t="shared" si="0"/>
        <v>6929.3039999999892</v>
      </c>
      <c r="N10" s="40" t="s">
        <v>1902</v>
      </c>
    </row>
    <row r="11" spans="1:14" x14ac:dyDescent="0.3">
      <c r="A11" s="38" t="s">
        <v>960</v>
      </c>
      <c r="B11" s="39" t="s">
        <v>961</v>
      </c>
      <c r="C11" s="39" t="s">
        <v>293</v>
      </c>
      <c r="D11" s="54">
        <v>20</v>
      </c>
      <c r="E11" s="54">
        <v>116.697</v>
      </c>
      <c r="F11" s="54">
        <v>2333.9344000000001</v>
      </c>
      <c r="G11" s="54"/>
      <c r="H11" s="54"/>
      <c r="I11" s="54"/>
      <c r="J11" s="54"/>
      <c r="K11" s="54"/>
      <c r="L11" s="44">
        <f t="shared" si="1"/>
        <v>0</v>
      </c>
      <c r="M11" s="54">
        <f t="shared" si="0"/>
        <v>0</v>
      </c>
      <c r="N11" s="40"/>
    </row>
    <row r="12" spans="1:14" x14ac:dyDescent="0.3">
      <c r="A12" s="38" t="s">
        <v>962</v>
      </c>
      <c r="B12" s="39" t="s">
        <v>963</v>
      </c>
      <c r="C12" s="39" t="s">
        <v>293</v>
      </c>
      <c r="D12" s="54">
        <v>40</v>
      </c>
      <c r="E12" s="54">
        <v>178.512</v>
      </c>
      <c r="F12" s="54">
        <v>7140.4787999999999</v>
      </c>
      <c r="G12" s="54">
        <f>6856/40</f>
        <v>171.4</v>
      </c>
      <c r="H12" s="54">
        <f>E12-G12</f>
        <v>7.1119999999999948</v>
      </c>
      <c r="I12" s="54">
        <f>H12*D12</f>
        <v>284.47999999999979</v>
      </c>
      <c r="J12" s="54"/>
      <c r="K12" s="54"/>
      <c r="L12" s="44">
        <f t="shared" si="1"/>
        <v>0</v>
      </c>
      <c r="M12" s="54">
        <f t="shared" si="0"/>
        <v>284.47999999999979</v>
      </c>
      <c r="N12" s="40" t="s">
        <v>1898</v>
      </c>
    </row>
    <row r="13" spans="1:14" x14ac:dyDescent="0.3">
      <c r="A13" s="38" t="s">
        <v>1629</v>
      </c>
      <c r="B13" s="39" t="s">
        <v>1630</v>
      </c>
      <c r="C13" s="39" t="s">
        <v>19</v>
      </c>
      <c r="D13" s="54">
        <v>1</v>
      </c>
      <c r="E13" s="54">
        <v>846.92499999999995</v>
      </c>
      <c r="F13" s="54">
        <v>846.92499999999995</v>
      </c>
      <c r="G13" s="54"/>
      <c r="H13" s="54"/>
      <c r="I13" s="54"/>
      <c r="J13" s="54"/>
      <c r="K13" s="54"/>
      <c r="L13" s="44">
        <f t="shared" si="1"/>
        <v>0</v>
      </c>
      <c r="M13" s="54">
        <f t="shared" si="0"/>
        <v>0</v>
      </c>
      <c r="N13" s="40"/>
    </row>
    <row r="14" spans="1:14" x14ac:dyDescent="0.3">
      <c r="A14" s="38" t="s">
        <v>1631</v>
      </c>
      <c r="B14" s="39" t="s">
        <v>1632</v>
      </c>
      <c r="C14" s="39" t="s">
        <v>19</v>
      </c>
      <c r="D14" s="54">
        <v>6</v>
      </c>
      <c r="E14" s="54">
        <v>1078.1110000000001</v>
      </c>
      <c r="F14" s="54">
        <v>6468.6666599999999</v>
      </c>
      <c r="G14" s="54">
        <v>991</v>
      </c>
      <c r="H14" s="54">
        <f>E14-G14</f>
        <v>87.111000000000104</v>
      </c>
      <c r="I14" s="54">
        <f>H14*D14</f>
        <v>522.66600000000062</v>
      </c>
      <c r="J14" s="54">
        <v>2.4900000000000002</v>
      </c>
      <c r="K14" s="54">
        <f>D14-J14</f>
        <v>3.51</v>
      </c>
      <c r="L14" s="44">
        <f t="shared" si="1"/>
        <v>3784.1696099999999</v>
      </c>
      <c r="M14" s="54">
        <f t="shared" si="0"/>
        <v>4306.8356100000001</v>
      </c>
      <c r="N14" s="40" t="s">
        <v>1894</v>
      </c>
    </row>
    <row r="15" spans="1:14" x14ac:dyDescent="0.3">
      <c r="A15" s="38" t="s">
        <v>1402</v>
      </c>
      <c r="B15" s="39" t="s">
        <v>1403</v>
      </c>
      <c r="C15" s="39" t="s">
        <v>323</v>
      </c>
      <c r="D15" s="54">
        <v>275</v>
      </c>
      <c r="E15" s="54">
        <v>56.483037037037001</v>
      </c>
      <c r="F15" s="54">
        <v>15535.419250000001</v>
      </c>
      <c r="G15" s="54"/>
      <c r="H15" s="54"/>
      <c r="I15" s="54"/>
      <c r="J15" s="54">
        <v>165</v>
      </c>
      <c r="K15" s="54">
        <f>D15-J15</f>
        <v>110</v>
      </c>
      <c r="L15" s="44">
        <f t="shared" si="1"/>
        <v>6213.1340740740698</v>
      </c>
      <c r="M15" s="54">
        <f t="shared" si="0"/>
        <v>6213.1340740740698</v>
      </c>
      <c r="N15" s="40" t="s">
        <v>1906</v>
      </c>
    </row>
    <row r="16" spans="1:14" x14ac:dyDescent="0.3">
      <c r="A16" s="38" t="s">
        <v>759</v>
      </c>
      <c r="B16" s="39" t="s">
        <v>760</v>
      </c>
      <c r="C16" s="39" t="s">
        <v>323</v>
      </c>
      <c r="D16" s="54">
        <v>18</v>
      </c>
      <c r="E16" s="54">
        <v>10.955399999999999</v>
      </c>
      <c r="F16" s="54">
        <v>197.15333999999999</v>
      </c>
      <c r="G16" s="54"/>
      <c r="H16" s="54"/>
      <c r="I16" s="54"/>
      <c r="J16" s="54"/>
      <c r="K16" s="54"/>
      <c r="L16" s="44">
        <f t="shared" si="1"/>
        <v>0</v>
      </c>
      <c r="M16" s="54">
        <f t="shared" si="0"/>
        <v>0</v>
      </c>
      <c r="N16" s="40"/>
    </row>
    <row r="17" spans="1:14" x14ac:dyDescent="0.3">
      <c r="A17" s="38" t="s">
        <v>1404</v>
      </c>
      <c r="B17" s="39" t="s">
        <v>1405</v>
      </c>
      <c r="C17" s="39" t="s">
        <v>19</v>
      </c>
      <c r="D17" s="54">
        <v>311</v>
      </c>
      <c r="E17" s="54">
        <v>2.1444999999999999</v>
      </c>
      <c r="F17" s="54">
        <v>666.60037</v>
      </c>
      <c r="G17" s="54"/>
      <c r="H17" s="54"/>
      <c r="I17" s="54"/>
      <c r="J17" s="54"/>
      <c r="K17" s="54"/>
      <c r="L17" s="44">
        <f t="shared" si="1"/>
        <v>0</v>
      </c>
      <c r="M17" s="54">
        <f t="shared" si="0"/>
        <v>0</v>
      </c>
      <c r="N17" s="40"/>
    </row>
    <row r="18" spans="1:14" x14ac:dyDescent="0.3">
      <c r="A18" s="38" t="s">
        <v>311</v>
      </c>
      <c r="B18" s="39" t="s">
        <v>312</v>
      </c>
      <c r="C18" s="39" t="s">
        <v>19</v>
      </c>
      <c r="D18" s="54">
        <v>14</v>
      </c>
      <c r="E18" s="54">
        <v>39.58</v>
      </c>
      <c r="F18" s="54">
        <v>554.12</v>
      </c>
      <c r="G18" s="54"/>
      <c r="H18" s="54"/>
      <c r="I18" s="54"/>
      <c r="J18" s="54"/>
      <c r="K18" s="54"/>
      <c r="L18" s="44">
        <f t="shared" si="1"/>
        <v>0</v>
      </c>
      <c r="M18" s="54">
        <f t="shared" si="0"/>
        <v>0</v>
      </c>
      <c r="N18" s="40"/>
    </row>
    <row r="19" spans="1:14" x14ac:dyDescent="0.3">
      <c r="A19" s="38" t="s">
        <v>1633</v>
      </c>
      <c r="B19" s="39" t="s">
        <v>1634</v>
      </c>
      <c r="C19" s="39" t="s">
        <v>19</v>
      </c>
      <c r="D19" s="54">
        <v>1</v>
      </c>
      <c r="E19" s="54">
        <v>667.5</v>
      </c>
      <c r="F19" s="54">
        <v>667.5</v>
      </c>
      <c r="G19" s="54"/>
      <c r="H19" s="54"/>
      <c r="I19" s="54"/>
      <c r="J19" s="54"/>
      <c r="K19" s="54"/>
      <c r="L19" s="44">
        <f t="shared" si="1"/>
        <v>0</v>
      </c>
      <c r="M19" s="54">
        <f t="shared" si="0"/>
        <v>0</v>
      </c>
      <c r="N19" s="40"/>
    </row>
    <row r="20" spans="1:14" x14ac:dyDescent="0.3">
      <c r="A20" s="38" t="s">
        <v>1635</v>
      </c>
      <c r="B20" s="39" t="s">
        <v>1636</v>
      </c>
      <c r="C20" s="39" t="s">
        <v>19</v>
      </c>
      <c r="D20" s="54">
        <v>5</v>
      </c>
      <c r="E20" s="54">
        <v>570.86633333333305</v>
      </c>
      <c r="F20" s="54">
        <v>2875.1985</v>
      </c>
      <c r="G20" s="54"/>
      <c r="H20" s="54"/>
      <c r="I20" s="54"/>
      <c r="J20" s="54"/>
      <c r="K20" s="54"/>
      <c r="L20" s="44">
        <f t="shared" si="1"/>
        <v>0</v>
      </c>
      <c r="M20" s="54">
        <f t="shared" si="0"/>
        <v>0</v>
      </c>
      <c r="N20" s="40"/>
    </row>
    <row r="21" spans="1:14" x14ac:dyDescent="0.3">
      <c r="A21" s="38" t="s">
        <v>1637</v>
      </c>
      <c r="B21" s="39" t="s">
        <v>1638</v>
      </c>
      <c r="C21" s="39" t="s">
        <v>233</v>
      </c>
      <c r="D21" s="54">
        <v>905</v>
      </c>
      <c r="E21" s="54">
        <v>28.509806451612899</v>
      </c>
      <c r="F21" s="54">
        <v>25804.999950000001</v>
      </c>
      <c r="G21" s="54"/>
      <c r="H21" s="54"/>
      <c r="I21" s="54"/>
      <c r="J21" s="54"/>
      <c r="K21" s="54"/>
      <c r="L21" s="44">
        <f t="shared" si="1"/>
        <v>0</v>
      </c>
      <c r="M21" s="54">
        <f t="shared" si="0"/>
        <v>0</v>
      </c>
      <c r="N21" s="40"/>
    </row>
    <row r="22" spans="1:14" x14ac:dyDescent="0.3">
      <c r="A22" s="38" t="s">
        <v>261</v>
      </c>
      <c r="B22" s="39" t="s">
        <v>262</v>
      </c>
      <c r="C22" s="39" t="s">
        <v>19</v>
      </c>
      <c r="D22" s="54">
        <v>2</v>
      </c>
      <c r="E22" s="54">
        <v>7.5039999999999996</v>
      </c>
      <c r="F22" s="54">
        <v>15.007</v>
      </c>
      <c r="G22" s="54"/>
      <c r="H22" s="54"/>
      <c r="I22" s="54"/>
      <c r="J22" s="54"/>
      <c r="K22" s="54"/>
      <c r="L22" s="44">
        <f t="shared" si="1"/>
        <v>0</v>
      </c>
      <c r="M22" s="54">
        <f t="shared" si="0"/>
        <v>0</v>
      </c>
      <c r="N22" s="40"/>
    </row>
    <row r="23" spans="1:14" x14ac:dyDescent="0.3">
      <c r="A23" s="38" t="s">
        <v>1639</v>
      </c>
      <c r="B23" s="39" t="s">
        <v>1640</v>
      </c>
      <c r="C23" s="39" t="s">
        <v>233</v>
      </c>
      <c r="D23" s="54">
        <v>14</v>
      </c>
      <c r="E23" s="54">
        <v>149.071</v>
      </c>
      <c r="F23" s="54">
        <v>2086.9914800000001</v>
      </c>
      <c r="G23" s="54"/>
      <c r="H23" s="54"/>
      <c r="I23" s="54"/>
      <c r="J23" s="54"/>
      <c r="K23" s="54"/>
      <c r="L23" s="44">
        <f t="shared" si="1"/>
        <v>0</v>
      </c>
      <c r="M23" s="54">
        <f t="shared" si="0"/>
        <v>0</v>
      </c>
      <c r="N23" s="40"/>
    </row>
    <row r="24" spans="1:14" x14ac:dyDescent="0.3">
      <c r="A24" s="38" t="s">
        <v>1641</v>
      </c>
      <c r="B24" s="39" t="s">
        <v>1642</v>
      </c>
      <c r="C24" s="39" t="s">
        <v>193</v>
      </c>
      <c r="D24" s="54">
        <v>20</v>
      </c>
      <c r="E24" s="54">
        <v>26.18</v>
      </c>
      <c r="F24" s="54">
        <v>335.89627999999999</v>
      </c>
      <c r="G24" s="54"/>
      <c r="H24" s="54"/>
      <c r="I24" s="54"/>
      <c r="J24" s="54"/>
      <c r="K24" s="54"/>
      <c r="L24" s="44">
        <f t="shared" si="1"/>
        <v>0</v>
      </c>
      <c r="M24" s="54">
        <f t="shared" si="0"/>
        <v>0</v>
      </c>
      <c r="N24" s="40"/>
    </row>
    <row r="25" spans="1:14" x14ac:dyDescent="0.3">
      <c r="A25" s="38" t="s">
        <v>769</v>
      </c>
      <c r="B25" s="39" t="s">
        <v>770</v>
      </c>
      <c r="C25" s="39" t="s">
        <v>19</v>
      </c>
      <c r="D25" s="54">
        <v>19</v>
      </c>
      <c r="E25" s="54">
        <v>22</v>
      </c>
      <c r="F25" s="54">
        <v>418</v>
      </c>
      <c r="G25" s="54"/>
      <c r="H25" s="54"/>
      <c r="I25" s="54"/>
      <c r="J25" s="54"/>
      <c r="K25" s="54"/>
      <c r="L25" s="44">
        <f t="shared" si="1"/>
        <v>0</v>
      </c>
      <c r="M25" s="54">
        <f t="shared" si="0"/>
        <v>0</v>
      </c>
      <c r="N25" s="40"/>
    </row>
    <row r="26" spans="1:14" x14ac:dyDescent="0.3">
      <c r="A26" s="38" t="s">
        <v>263</v>
      </c>
      <c r="B26" s="39" t="s">
        <v>264</v>
      </c>
      <c r="C26" s="39" t="s">
        <v>233</v>
      </c>
      <c r="D26" s="54">
        <v>10</v>
      </c>
      <c r="E26" s="54">
        <v>22</v>
      </c>
      <c r="F26" s="54">
        <v>220.00002000000001</v>
      </c>
      <c r="G26" s="54"/>
      <c r="H26" s="54"/>
      <c r="I26" s="54"/>
      <c r="J26" s="54"/>
      <c r="K26" s="54"/>
      <c r="L26" s="44">
        <f t="shared" si="1"/>
        <v>0</v>
      </c>
      <c r="M26" s="54">
        <f t="shared" si="0"/>
        <v>0</v>
      </c>
      <c r="N26" s="40"/>
    </row>
    <row r="27" spans="1:14" x14ac:dyDescent="0.3">
      <c r="A27" s="41" t="s">
        <v>1522</v>
      </c>
      <c r="B27" s="42" t="s">
        <v>1523</v>
      </c>
      <c r="C27" s="42" t="s">
        <v>19</v>
      </c>
      <c r="D27" s="44">
        <v>16</v>
      </c>
      <c r="E27" s="44">
        <v>2423.5471250000001</v>
      </c>
      <c r="F27" s="44">
        <v>38776.751689999997</v>
      </c>
      <c r="G27" s="43">
        <v>1614</v>
      </c>
      <c r="H27" s="44">
        <f>E27-G27</f>
        <v>809.54712500000005</v>
      </c>
      <c r="I27" s="44">
        <f>H27*D27</f>
        <v>12952.754000000001</v>
      </c>
      <c r="J27" s="44">
        <v>15</v>
      </c>
      <c r="K27" s="44">
        <f>D27-J27</f>
        <v>1</v>
      </c>
      <c r="L27" s="44">
        <f t="shared" si="1"/>
        <v>2423.5471250000001</v>
      </c>
      <c r="M27" s="54">
        <f t="shared" si="0"/>
        <v>15376.301125000002</v>
      </c>
      <c r="N27" s="24" t="s">
        <v>1894</v>
      </c>
    </row>
    <row r="28" spans="1:14" x14ac:dyDescent="0.3">
      <c r="A28" s="38" t="s">
        <v>1645</v>
      </c>
      <c r="B28" s="39" t="s">
        <v>1646</v>
      </c>
      <c r="C28" s="39" t="s">
        <v>233</v>
      </c>
      <c r="D28" s="54">
        <v>29600</v>
      </c>
      <c r="E28" s="54">
        <v>58.282850000000003</v>
      </c>
      <c r="F28" s="54">
        <v>1725177.9543999999</v>
      </c>
      <c r="G28" s="54">
        <v>58</v>
      </c>
      <c r="H28" s="54">
        <f>E28-G28</f>
        <v>0.28285000000000338</v>
      </c>
      <c r="I28" s="54">
        <f>H28*D28</f>
        <v>8372.3600000001006</v>
      </c>
      <c r="J28" s="54">
        <v>28991.984</v>
      </c>
      <c r="K28" s="54">
        <f>D28-J28</f>
        <v>608.01599999999962</v>
      </c>
      <c r="L28" s="44">
        <f t="shared" si="1"/>
        <v>35436.905325599982</v>
      </c>
      <c r="M28" s="54">
        <f t="shared" si="0"/>
        <v>43809.265325600085</v>
      </c>
      <c r="N28" s="40" t="s">
        <v>1894</v>
      </c>
    </row>
    <row r="29" spans="1:14" x14ac:dyDescent="0.3">
      <c r="A29" s="41" t="s">
        <v>1647</v>
      </c>
      <c r="B29" s="48" t="s">
        <v>1648</v>
      </c>
      <c r="C29" s="42" t="s">
        <v>233</v>
      </c>
      <c r="D29" s="44">
        <v>46</v>
      </c>
      <c r="E29" s="44">
        <v>55.4</v>
      </c>
      <c r="F29" s="44">
        <v>2548.4</v>
      </c>
      <c r="G29" s="44"/>
      <c r="H29" s="44"/>
      <c r="I29" s="44"/>
      <c r="J29" s="44"/>
      <c r="K29" s="44"/>
      <c r="L29" s="44">
        <f t="shared" si="1"/>
        <v>0</v>
      </c>
      <c r="M29" s="54">
        <f t="shared" si="0"/>
        <v>0</v>
      </c>
      <c r="N29" s="24" t="s">
        <v>1900</v>
      </c>
    </row>
    <row r="30" spans="1:14" x14ac:dyDescent="0.3">
      <c r="A30" s="38" t="s">
        <v>1649</v>
      </c>
      <c r="B30" s="39" t="s">
        <v>1650</v>
      </c>
      <c r="C30" s="39" t="s">
        <v>233</v>
      </c>
      <c r="D30" s="54">
        <v>16850</v>
      </c>
      <c r="E30" s="54">
        <v>15</v>
      </c>
      <c r="F30" s="54">
        <v>252750</v>
      </c>
      <c r="G30" s="54"/>
      <c r="H30" s="54"/>
      <c r="I30" s="54"/>
      <c r="J30" s="54">
        <v>15137.44</v>
      </c>
      <c r="K30" s="54">
        <f>D30-J30</f>
        <v>1712.5599999999995</v>
      </c>
      <c r="L30" s="44">
        <f t="shared" si="1"/>
        <v>25688.399999999994</v>
      </c>
      <c r="M30" s="54">
        <f t="shared" si="0"/>
        <v>25688.399999999994</v>
      </c>
      <c r="N30" s="40" t="s">
        <v>1908</v>
      </c>
    </row>
    <row r="31" spans="1:14" x14ac:dyDescent="0.3">
      <c r="A31" s="38" t="s">
        <v>1651</v>
      </c>
      <c r="B31" s="39" t="s">
        <v>1652</v>
      </c>
      <c r="C31" s="39" t="s">
        <v>19</v>
      </c>
      <c r="D31" s="54">
        <v>4664</v>
      </c>
      <c r="E31" s="54">
        <v>29.214466666666599</v>
      </c>
      <c r="F31" s="54">
        <v>136274.91063999999</v>
      </c>
      <c r="G31" s="54"/>
      <c r="H31" s="54"/>
      <c r="I31" s="54"/>
      <c r="J31" s="54"/>
      <c r="K31" s="54"/>
      <c r="L31" s="44">
        <f t="shared" si="1"/>
        <v>0</v>
      </c>
      <c r="M31" s="54">
        <f t="shared" si="0"/>
        <v>0</v>
      </c>
      <c r="N31" s="40"/>
    </row>
    <row r="32" spans="1:14" x14ac:dyDescent="0.3">
      <c r="A32" s="38" t="s">
        <v>1653</v>
      </c>
      <c r="B32" s="39" t="s">
        <v>1654</v>
      </c>
      <c r="C32" s="39" t="s">
        <v>19</v>
      </c>
      <c r="D32" s="54">
        <v>1</v>
      </c>
      <c r="E32" s="54">
        <v>17061.066999999999</v>
      </c>
      <c r="F32" s="54">
        <v>17061.06666</v>
      </c>
      <c r="G32" s="54">
        <v>16498</v>
      </c>
      <c r="H32" s="54">
        <f>F32-G32</f>
        <v>563.06666000000041</v>
      </c>
      <c r="I32" s="54">
        <f>H32*D32</f>
        <v>563.06666000000041</v>
      </c>
      <c r="J32" s="54"/>
      <c r="K32" s="54"/>
      <c r="L32" s="44">
        <f t="shared" si="1"/>
        <v>0</v>
      </c>
      <c r="M32" s="54">
        <f t="shared" si="0"/>
        <v>563.06666000000041</v>
      </c>
      <c r="N32" s="40"/>
    </row>
    <row r="33" spans="1:14" x14ac:dyDescent="0.3">
      <c r="A33" s="38" t="s">
        <v>1088</v>
      </c>
      <c r="B33" s="39" t="s">
        <v>1089</v>
      </c>
      <c r="C33" s="39" t="s">
        <v>19</v>
      </c>
      <c r="D33" s="54">
        <v>16</v>
      </c>
      <c r="E33" s="54">
        <v>215.54572727272699</v>
      </c>
      <c r="F33" s="54">
        <v>3420.3686200000002</v>
      </c>
      <c r="G33" s="54">
        <v>163</v>
      </c>
      <c r="H33" s="54">
        <f>E33-G33</f>
        <v>52.545727272726992</v>
      </c>
      <c r="I33" s="54">
        <f>H33*D33</f>
        <v>840.73163636363188</v>
      </c>
      <c r="J33" s="54">
        <v>10</v>
      </c>
      <c r="K33" s="54">
        <f>D33-J33</f>
        <v>6</v>
      </c>
      <c r="L33" s="44">
        <f t="shared" si="1"/>
        <v>1293.2743636363621</v>
      </c>
      <c r="M33" s="54">
        <f t="shared" si="0"/>
        <v>2134.0059999999939</v>
      </c>
      <c r="N33" s="40" t="s">
        <v>1894</v>
      </c>
    </row>
    <row r="34" spans="1:14" x14ac:dyDescent="0.3">
      <c r="A34" s="38" t="s">
        <v>1655</v>
      </c>
      <c r="B34" s="39" t="s">
        <v>1656</v>
      </c>
      <c r="C34" s="39" t="s">
        <v>19</v>
      </c>
      <c r="D34" s="54">
        <v>5025</v>
      </c>
      <c r="E34" s="54">
        <v>32.699226666666597</v>
      </c>
      <c r="F34" s="54">
        <v>164313.815</v>
      </c>
      <c r="G34" s="54">
        <v>29.5</v>
      </c>
      <c r="H34" s="54">
        <f>E34-G34</f>
        <v>3.1992266666665969</v>
      </c>
      <c r="I34" s="54">
        <f>H34*D34</f>
        <v>16076.11399999965</v>
      </c>
      <c r="J34" s="54">
        <v>4750</v>
      </c>
      <c r="K34" s="54">
        <f>D34-J34</f>
        <v>275</v>
      </c>
      <c r="L34" s="44">
        <f t="shared" si="1"/>
        <v>8992.2873333333137</v>
      </c>
      <c r="M34" s="54">
        <f t="shared" si="0"/>
        <v>25068.401333332964</v>
      </c>
      <c r="N34" s="40" t="s">
        <v>1894</v>
      </c>
    </row>
    <row r="35" spans="1:14" x14ac:dyDescent="0.3">
      <c r="A35" s="38" t="s">
        <v>1657</v>
      </c>
      <c r="B35" s="49" t="s">
        <v>1658</v>
      </c>
      <c r="C35" s="39" t="s">
        <v>1659</v>
      </c>
      <c r="D35" s="54">
        <v>56</v>
      </c>
      <c r="E35" s="54">
        <v>225.608</v>
      </c>
      <c r="F35" s="54">
        <v>12634.06984</v>
      </c>
      <c r="G35" s="54"/>
      <c r="H35" s="54"/>
      <c r="I35" s="54"/>
      <c r="J35" s="54"/>
      <c r="K35" s="54"/>
      <c r="L35" s="44">
        <f t="shared" si="1"/>
        <v>0</v>
      </c>
      <c r="M35" s="54">
        <f t="shared" si="0"/>
        <v>0</v>
      </c>
      <c r="N35" s="40"/>
    </row>
    <row r="36" spans="1:14" x14ac:dyDescent="0.3">
      <c r="A36" s="38" t="s">
        <v>1660</v>
      </c>
      <c r="B36" s="49" t="s">
        <v>1661</v>
      </c>
      <c r="C36" s="39" t="s">
        <v>1662</v>
      </c>
      <c r="D36" s="54">
        <v>5</v>
      </c>
      <c r="E36" s="54">
        <v>559.6</v>
      </c>
      <c r="F36" s="54">
        <v>2798</v>
      </c>
      <c r="G36" s="54"/>
      <c r="H36" s="54"/>
      <c r="I36" s="54"/>
      <c r="J36" s="54"/>
      <c r="K36" s="54"/>
      <c r="L36" s="44">
        <f t="shared" si="1"/>
        <v>0</v>
      </c>
      <c r="M36" s="54">
        <f t="shared" si="0"/>
        <v>0</v>
      </c>
      <c r="N36" s="40"/>
    </row>
    <row r="37" spans="1:14" x14ac:dyDescent="0.3">
      <c r="A37" s="38" t="s">
        <v>1132</v>
      </c>
      <c r="B37" s="39" t="s">
        <v>1133</v>
      </c>
      <c r="C37" s="39" t="s">
        <v>293</v>
      </c>
      <c r="D37" s="54">
        <v>16231.47</v>
      </c>
      <c r="E37" s="54">
        <v>101.00304411764699</v>
      </c>
      <c r="F37" s="56">
        <v>1633488.55146</v>
      </c>
      <c r="G37" s="54"/>
      <c r="H37" s="54"/>
      <c r="I37" s="54"/>
      <c r="J37" s="54"/>
      <c r="K37" s="54"/>
      <c r="L37" s="44">
        <f t="shared" si="1"/>
        <v>0</v>
      </c>
      <c r="M37" s="54">
        <f t="shared" si="0"/>
        <v>0</v>
      </c>
      <c r="N37" s="40"/>
    </row>
    <row r="38" spans="1:14" x14ac:dyDescent="0.3">
      <c r="A38" s="41" t="s">
        <v>1663</v>
      </c>
      <c r="B38" s="42" t="s">
        <v>1664</v>
      </c>
      <c r="C38" s="42" t="s">
        <v>830</v>
      </c>
      <c r="D38" s="44">
        <v>1.4750000000000001</v>
      </c>
      <c r="E38" s="44">
        <v>24586.271000000001</v>
      </c>
      <c r="F38" s="44">
        <v>36264.750010000003</v>
      </c>
      <c r="G38" s="44"/>
      <c r="H38" s="44"/>
      <c r="I38" s="44"/>
      <c r="J38" s="44">
        <v>0</v>
      </c>
      <c r="K38" s="44">
        <f>D38-J38</f>
        <v>1.4750000000000001</v>
      </c>
      <c r="L38" s="44">
        <f t="shared" si="1"/>
        <v>36264.749725000001</v>
      </c>
      <c r="M38" s="54">
        <f t="shared" si="0"/>
        <v>36264.749725000001</v>
      </c>
      <c r="N38" s="24" t="s">
        <v>1891</v>
      </c>
    </row>
    <row r="39" spans="1:14" x14ac:dyDescent="0.3">
      <c r="A39" s="38" t="s">
        <v>1665</v>
      </c>
      <c r="B39" s="39" t="s">
        <v>1666</v>
      </c>
      <c r="C39" s="39" t="s">
        <v>233</v>
      </c>
      <c r="D39" s="54">
        <v>95600</v>
      </c>
      <c r="E39" s="54">
        <v>3.8</v>
      </c>
      <c r="F39" s="54">
        <v>363280</v>
      </c>
      <c r="G39" s="54"/>
      <c r="H39" s="54"/>
      <c r="I39" s="54"/>
      <c r="J39" s="54"/>
      <c r="K39" s="54"/>
      <c r="L39" s="44">
        <f t="shared" si="1"/>
        <v>0</v>
      </c>
      <c r="M39" s="54">
        <f t="shared" si="0"/>
        <v>0</v>
      </c>
      <c r="N39" s="40"/>
    </row>
    <row r="40" spans="1:14" x14ac:dyDescent="0.3">
      <c r="A40" s="41" t="s">
        <v>1667</v>
      </c>
      <c r="B40" s="42" t="s">
        <v>1668</v>
      </c>
      <c r="C40" s="42" t="s">
        <v>233</v>
      </c>
      <c r="D40" s="44">
        <v>4550</v>
      </c>
      <c r="E40" s="44">
        <v>96.5</v>
      </c>
      <c r="F40" s="44">
        <v>439075</v>
      </c>
      <c r="G40" s="44"/>
      <c r="H40" s="44"/>
      <c r="I40" s="44"/>
      <c r="J40" s="44">
        <v>3986.3980000000001</v>
      </c>
      <c r="K40" s="44">
        <f>D40-J40</f>
        <v>563.60199999999986</v>
      </c>
      <c r="L40" s="44">
        <f t="shared" si="1"/>
        <v>54387.592999999986</v>
      </c>
      <c r="M40" s="54">
        <f t="shared" si="0"/>
        <v>54387.592999999986</v>
      </c>
      <c r="N40" s="24" t="s">
        <v>1896</v>
      </c>
    </row>
    <row r="41" spans="1:14" x14ac:dyDescent="0.3">
      <c r="A41" s="41" t="s">
        <v>1669</v>
      </c>
      <c r="B41" s="42" t="s">
        <v>1670</v>
      </c>
      <c r="C41" s="42" t="s">
        <v>233</v>
      </c>
      <c r="D41" s="44">
        <v>113900</v>
      </c>
      <c r="E41" s="44">
        <v>10.5</v>
      </c>
      <c r="F41" s="44">
        <v>1195950</v>
      </c>
      <c r="G41" s="44"/>
      <c r="H41" s="44"/>
      <c r="I41" s="44"/>
      <c r="J41" s="44">
        <v>108719.94</v>
      </c>
      <c r="K41" s="44">
        <f>D41-J41</f>
        <v>5180.0599999999977</v>
      </c>
      <c r="L41" s="44">
        <f t="shared" si="1"/>
        <v>54390.629999999976</v>
      </c>
      <c r="M41" s="54">
        <f t="shared" si="0"/>
        <v>54390.629999999976</v>
      </c>
      <c r="N41" s="40" t="s">
        <v>1907</v>
      </c>
    </row>
    <row r="42" spans="1:14" x14ac:dyDescent="0.3">
      <c r="A42" s="38" t="s">
        <v>1671</v>
      </c>
      <c r="B42" s="39" t="s">
        <v>1672</v>
      </c>
      <c r="C42" s="39" t="s">
        <v>233</v>
      </c>
      <c r="D42" s="54">
        <v>1550</v>
      </c>
      <c r="E42" s="54">
        <v>14</v>
      </c>
      <c r="F42" s="54">
        <v>21700</v>
      </c>
      <c r="G42" s="54"/>
      <c r="H42" s="54"/>
      <c r="I42" s="54"/>
      <c r="J42" s="54"/>
      <c r="K42" s="54"/>
      <c r="L42" s="44">
        <f t="shared" si="1"/>
        <v>0</v>
      </c>
      <c r="M42" s="54">
        <f t="shared" si="0"/>
        <v>0</v>
      </c>
      <c r="N42" s="40"/>
    </row>
    <row r="43" spans="1:14" x14ac:dyDescent="0.3">
      <c r="A43" s="38" t="s">
        <v>1673</v>
      </c>
      <c r="B43" s="39" t="s">
        <v>1674</v>
      </c>
      <c r="C43" s="39" t="s">
        <v>233</v>
      </c>
      <c r="D43" s="54">
        <v>500</v>
      </c>
      <c r="E43" s="54">
        <v>200.75</v>
      </c>
      <c r="F43" s="54">
        <v>100550</v>
      </c>
      <c r="G43" s="54"/>
      <c r="H43" s="54"/>
      <c r="I43" s="54"/>
      <c r="J43" s="54"/>
      <c r="K43" s="54"/>
      <c r="L43" s="44">
        <f t="shared" si="1"/>
        <v>0</v>
      </c>
      <c r="M43" s="54">
        <f t="shared" si="0"/>
        <v>0</v>
      </c>
      <c r="N43" s="40"/>
    </row>
    <row r="44" spans="1:14" x14ac:dyDescent="0.3">
      <c r="A44" s="38" t="s">
        <v>1675</v>
      </c>
      <c r="B44" s="39" t="s">
        <v>1676</v>
      </c>
      <c r="C44" s="39" t="s">
        <v>233</v>
      </c>
      <c r="D44" s="54">
        <v>1450</v>
      </c>
      <c r="E44" s="54">
        <v>207.828</v>
      </c>
      <c r="F44" s="54">
        <v>301350.00550000003</v>
      </c>
      <c r="G44" s="54">
        <v>201</v>
      </c>
      <c r="H44" s="54">
        <f>E44-G44</f>
        <v>6.828000000000003</v>
      </c>
      <c r="I44" s="54">
        <f>H44*D44</f>
        <v>9900.600000000004</v>
      </c>
      <c r="J44" s="54">
        <v>1322.76</v>
      </c>
      <c r="K44" s="54">
        <f>D44-J44</f>
        <v>127.24000000000001</v>
      </c>
      <c r="L44" s="44">
        <f t="shared" si="1"/>
        <v>26444.034720000003</v>
      </c>
      <c r="M44" s="54">
        <f t="shared" si="0"/>
        <v>36344.634720000009</v>
      </c>
      <c r="N44" s="40" t="s">
        <v>1893</v>
      </c>
    </row>
    <row r="45" spans="1:14" x14ac:dyDescent="0.3">
      <c r="A45" s="38" t="s">
        <v>1677</v>
      </c>
      <c r="B45" s="39" t="s">
        <v>1678</v>
      </c>
      <c r="C45" s="39" t="s">
        <v>19</v>
      </c>
      <c r="D45" s="54">
        <v>4250</v>
      </c>
      <c r="E45" s="54">
        <v>10.6993846153846</v>
      </c>
      <c r="F45" s="54">
        <v>45495.832000000002</v>
      </c>
      <c r="G45" s="57">
        <v>8.8451666666666604</v>
      </c>
      <c r="H45" s="54">
        <f>E45-G45</f>
        <v>1.85421794871794</v>
      </c>
      <c r="I45" s="54">
        <f>H45*D45</f>
        <v>7880.4262820512449</v>
      </c>
      <c r="J45" s="54">
        <v>2712.5</v>
      </c>
      <c r="K45" s="54">
        <f>D45-J45</f>
        <v>1537.5</v>
      </c>
      <c r="L45" s="44">
        <f t="shared" si="1"/>
        <v>16450.303846153824</v>
      </c>
      <c r="M45" s="54">
        <f t="shared" si="0"/>
        <v>24330.730128205068</v>
      </c>
      <c r="N45" s="40" t="s">
        <v>1894</v>
      </c>
    </row>
    <row r="46" spans="1:14" ht="15" thickBot="1" x14ac:dyDescent="0.35">
      <c r="A46" s="45" t="s">
        <v>1679</v>
      </c>
      <c r="B46" s="46" t="s">
        <v>1680</v>
      </c>
      <c r="C46" s="46" t="s">
        <v>533</v>
      </c>
      <c r="D46" s="58">
        <v>2</v>
      </c>
      <c r="E46" s="58">
        <v>131</v>
      </c>
      <c r="F46" s="58">
        <v>262</v>
      </c>
      <c r="G46" s="58"/>
      <c r="H46" s="58"/>
      <c r="I46" s="58"/>
      <c r="J46" s="58"/>
      <c r="K46" s="58"/>
      <c r="L46" s="59">
        <f t="shared" si="1"/>
        <v>0</v>
      </c>
      <c r="M46" s="58">
        <f t="shared" si="0"/>
        <v>0</v>
      </c>
      <c r="N46" s="47"/>
    </row>
    <row r="47" spans="1:14" x14ac:dyDescent="0.3">
      <c r="D47" s="60"/>
      <c r="E47" s="60"/>
      <c r="F47" s="60"/>
      <c r="G47" s="6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 Consumption Summary </vt:lpstr>
      <vt:lpstr>SMS Q2 CONSUMPTION REPORT</vt:lpstr>
      <vt:lpstr>Capex </vt:lpstr>
      <vt:lpstr>Q2 SRN Summary</vt:lpstr>
      <vt:lpstr>PROD-IF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SHARMA SMS MECH</dc:creator>
  <cp:lastModifiedBy>Santosh Kumar Kohroo</cp:lastModifiedBy>
  <dcterms:created xsi:type="dcterms:W3CDTF">2026-10-08T04:27:42Z</dcterms:created>
  <dcterms:modified xsi:type="dcterms:W3CDTF">2026-10-12T05:43:36Z</dcterms:modified>
</cp:coreProperties>
</file>