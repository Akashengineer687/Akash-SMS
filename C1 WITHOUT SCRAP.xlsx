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mieplplant-my.sharepoint.com/personal/santoshkumar_kohroo_marutisteel_in/Documents/Desktop/"/>
    </mc:Choice>
  </mc:AlternateContent>
  <xr:revisionPtr revIDLastSave="48" documentId="8_{40B20EA1-B87D-4747-94DC-F833EA76010E}" xr6:coauthVersionLast="47" xr6:coauthVersionMax="47" xr10:uidLastSave="{9335B8CD-12CC-4FEA-93AE-6433D86DE0A3}"/>
  <bookViews>
    <workbookView xWindow="-108" yWindow="-108" windowWidth="23256" windowHeight="12456" xr2:uid="{00000000-000D-0000-FFFF-FFFF00000000}"/>
  </bookViews>
  <sheets>
    <sheet name="11-08-2026" sheetId="8" r:id="rId1"/>
    <sheet name="MELT RATE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0" i="8" l="1"/>
  <c r="C9" i="5" l="1"/>
  <c r="T19" i="8"/>
  <c r="U19" i="8" s="1"/>
  <c r="S19" i="8"/>
  <c r="S18" i="8"/>
  <c r="Q18" i="8"/>
  <c r="O18" i="8"/>
  <c r="N18" i="8"/>
  <c r="N25" i="8" s="1"/>
  <c r="M18" i="8"/>
  <c r="D18" i="8"/>
  <c r="I18" i="8" s="1"/>
  <c r="J18" i="8" s="1"/>
  <c r="K18" i="8" s="1"/>
  <c r="L18" i="8" s="1"/>
  <c r="N17" i="8"/>
  <c r="K17" i="8"/>
  <c r="I17" i="8"/>
  <c r="C17" i="8"/>
  <c r="E16" i="8"/>
  <c r="M16" i="8" s="1"/>
  <c r="D16" i="8"/>
  <c r="I16" i="8" s="1"/>
  <c r="J16" i="8" s="1"/>
  <c r="K16" i="8" s="1"/>
  <c r="L16" i="8" s="1"/>
  <c r="S15" i="8"/>
  <c r="E15" i="8"/>
  <c r="Q15" i="8" s="1"/>
  <c r="D15" i="8"/>
  <c r="I15" i="8" s="1"/>
  <c r="J15" i="8" s="1"/>
  <c r="K15" i="8" s="1"/>
  <c r="L15" i="8" s="1"/>
  <c r="E14" i="8"/>
  <c r="Q14" i="8" s="1"/>
  <c r="D14" i="8"/>
  <c r="I14" i="8" s="1"/>
  <c r="J14" i="8" s="1"/>
  <c r="K14" i="8" s="1"/>
  <c r="L14" i="8" s="1"/>
  <c r="S13" i="8"/>
  <c r="E13" i="8"/>
  <c r="Q13" i="8" s="1"/>
  <c r="D13" i="8"/>
  <c r="I13" i="8" s="1"/>
  <c r="J13" i="8" s="1"/>
  <c r="K13" i="8" s="1"/>
  <c r="L13" i="8" s="1"/>
  <c r="S12" i="8"/>
  <c r="E12" i="8"/>
  <c r="Q12" i="8" s="1"/>
  <c r="D12" i="8"/>
  <c r="I12" i="8" s="1"/>
  <c r="J12" i="8" s="1"/>
  <c r="K12" i="8" s="1"/>
  <c r="L12" i="8" s="1"/>
  <c r="S11" i="8"/>
  <c r="E11" i="8"/>
  <c r="M11" i="8" s="1"/>
  <c r="D11" i="8"/>
  <c r="I11" i="8" s="1"/>
  <c r="J11" i="8" s="1"/>
  <c r="K11" i="8" s="1"/>
  <c r="L11" i="8" s="1"/>
  <c r="S10" i="8"/>
  <c r="E10" i="8"/>
  <c r="Q10" i="8" s="1"/>
  <c r="D10" i="8"/>
  <c r="S9" i="8"/>
  <c r="E9" i="8"/>
  <c r="O9" i="8" s="1"/>
  <c r="D9" i="8"/>
  <c r="I9" i="8" s="1"/>
  <c r="E8" i="8"/>
  <c r="Q8" i="8" s="1"/>
  <c r="D8" i="8"/>
  <c r="I8" i="8" s="1"/>
  <c r="J8" i="8" s="1"/>
  <c r="K8" i="8" s="1"/>
  <c r="L8" i="8" s="1"/>
  <c r="E7" i="8"/>
  <c r="O7" i="8" s="1"/>
  <c r="D7" i="8"/>
  <c r="I7" i="8" s="1"/>
  <c r="J7" i="8" s="1"/>
  <c r="K7" i="8" s="1"/>
  <c r="L7" i="8" s="1"/>
  <c r="E6" i="8"/>
  <c r="Q6" i="8" s="1"/>
  <c r="D6" i="8"/>
  <c r="I6" i="8" s="1"/>
  <c r="J6" i="8" s="1"/>
  <c r="K6" i="8" s="1"/>
  <c r="L6" i="8" s="1"/>
  <c r="X5" i="8"/>
  <c r="W5" i="8"/>
  <c r="S5" i="8"/>
  <c r="E5" i="8"/>
  <c r="Q5" i="8" s="1"/>
  <c r="D5" i="8"/>
  <c r="I5" i="8" s="1"/>
  <c r="J5" i="8" s="1"/>
  <c r="K5" i="8" s="1"/>
  <c r="L5" i="8" s="1"/>
  <c r="O11" i="8" l="1"/>
  <c r="Q11" i="8"/>
  <c r="M15" i="8"/>
  <c r="O16" i="8"/>
  <c r="Q16" i="8"/>
  <c r="P23" i="8" s="1"/>
  <c r="Q9" i="8"/>
  <c r="O15" i="8"/>
  <c r="Q7" i="8"/>
  <c r="U2" i="8"/>
  <c r="O6" i="8"/>
  <c r="O14" i="8"/>
  <c r="M13" i="8"/>
  <c r="M6" i="8"/>
  <c r="M14" i="8"/>
  <c r="M8" i="8"/>
  <c r="O8" i="8"/>
  <c r="O13" i="8"/>
  <c r="M12" i="8"/>
  <c r="M7" i="8"/>
  <c r="O12" i="8"/>
  <c r="M10" i="8"/>
  <c r="O10" i="8"/>
  <c r="M5" i="8"/>
  <c r="O5" i="8"/>
  <c r="I10" i="8"/>
  <c r="J10" i="8" s="1"/>
  <c r="K10" i="8" s="1"/>
  <c r="L10" i="8" s="1"/>
  <c r="J9" i="8"/>
  <c r="C23" i="8"/>
  <c r="E23" i="8" s="1"/>
  <c r="F23" i="8" s="1"/>
  <c r="M9" i="8"/>
  <c r="T15" i="8" l="1"/>
  <c r="U15" i="8" s="1"/>
  <c r="T18" i="8"/>
  <c r="Q17" i="8"/>
  <c r="Q25" i="8" s="1"/>
  <c r="C3" i="5" s="1"/>
  <c r="C7" i="5" s="1"/>
  <c r="C10" i="5" s="1"/>
  <c r="T24" i="8" s="1"/>
  <c r="T14" i="8"/>
  <c r="U14" i="8" s="1"/>
  <c r="T5" i="8"/>
  <c r="U5" i="8" s="1"/>
  <c r="T8" i="8"/>
  <c r="U8" i="8" s="1"/>
  <c r="T13" i="8"/>
  <c r="U13" i="8" s="1"/>
  <c r="T9" i="8"/>
  <c r="U9" i="8" s="1"/>
  <c r="T16" i="8"/>
  <c r="U16" i="8" s="1"/>
  <c r="O17" i="8"/>
  <c r="T7" i="8"/>
  <c r="U7" i="8" s="1"/>
  <c r="T12" i="8"/>
  <c r="U12" i="8" s="1"/>
  <c r="T11" i="8"/>
  <c r="U11" i="8" s="1"/>
  <c r="T10" i="8"/>
  <c r="U10" i="8" s="1"/>
  <c r="U18" i="8"/>
  <c r="T6" i="8"/>
  <c r="U6" i="8" s="1"/>
  <c r="M17" i="8"/>
  <c r="I20" i="8"/>
  <c r="J20" i="8"/>
  <c r="K9" i="8"/>
  <c r="O20" i="8" l="1"/>
  <c r="O25" i="8" s="1"/>
  <c r="T23" i="8"/>
  <c r="C14" i="5"/>
  <c r="T25" i="8" s="1"/>
  <c r="M25" i="8"/>
  <c r="K20" i="8"/>
  <c r="L20" i="8" s="1"/>
  <c r="L25" i="8" s="1"/>
  <c r="L9" i="8"/>
  <c r="L17" i="8" s="1"/>
  <c r="C16" i="5" l="1"/>
  <c r="C18" i="5" s="1"/>
  <c r="T26" i="8" s="1"/>
  <c r="C19" i="5" l="1"/>
  <c r="C20" i="5" l="1"/>
  <c r="E20" i="5" s="1"/>
  <c r="T27" i="8"/>
  <c r="T28" i="8" l="1"/>
</calcChain>
</file>

<file path=xl/sharedStrings.xml><?xml version="1.0" encoding="utf-8"?>
<sst xmlns="http://schemas.openxmlformats.org/spreadsheetml/2006/main" count="85" uniqueCount="77">
  <si>
    <t>Material</t>
  </si>
  <si>
    <t>Item Description</t>
  </si>
  <si>
    <t>%</t>
  </si>
  <si>
    <t>Recovery</t>
  </si>
  <si>
    <t>Qty</t>
  </si>
  <si>
    <t>RM Quality (Expected) %</t>
  </si>
  <si>
    <t>Estimated Quality of Product %</t>
  </si>
  <si>
    <t>Yeild</t>
  </si>
  <si>
    <t>Kg</t>
  </si>
  <si>
    <t>c</t>
  </si>
  <si>
    <t>s</t>
  </si>
  <si>
    <t>p</t>
  </si>
  <si>
    <t>Mn</t>
  </si>
  <si>
    <t>Per Heat</t>
  </si>
  <si>
    <t>Per Day</t>
  </si>
  <si>
    <t>STEEL MELTING SCRAP</t>
  </si>
  <si>
    <t>SPONGE IRON LUMPS</t>
  </si>
  <si>
    <t>SPONGE IRON PELLET</t>
  </si>
  <si>
    <t>SPONGE IRON FINES</t>
  </si>
  <si>
    <t>PIG IRON</t>
  </si>
  <si>
    <t>SLAG METAL</t>
  </si>
  <si>
    <t>SLAG JAAM</t>
  </si>
  <si>
    <t>SLAGE JAAM</t>
  </si>
  <si>
    <t>TOTAL</t>
  </si>
  <si>
    <t>SLILICO MANGANESE</t>
  </si>
  <si>
    <t>OVERALL %</t>
  </si>
  <si>
    <t>Feo</t>
  </si>
  <si>
    <t xml:space="preserve">Recovery </t>
  </si>
  <si>
    <t>Net Availability</t>
  </si>
  <si>
    <t>TOTAL HEAT TIME</t>
  </si>
  <si>
    <t>Heat Per Day</t>
  </si>
  <si>
    <t>Daily Production</t>
  </si>
  <si>
    <t xml:space="preserve"> </t>
  </si>
  <si>
    <t>net carbon</t>
  </si>
  <si>
    <t>after FEO</t>
  </si>
  <si>
    <t>after burning loss</t>
  </si>
  <si>
    <t>ROLLING MILL SCRAP</t>
  </si>
  <si>
    <t>Billet End Cut</t>
  </si>
  <si>
    <t>CI Mix Scrap</t>
  </si>
  <si>
    <t>CI SCRAP</t>
  </si>
  <si>
    <t>PCM JAM</t>
  </si>
  <si>
    <t>PIG IRON Splash</t>
  </si>
  <si>
    <t>MET COKE (kg)</t>
  </si>
  <si>
    <t>PER HEAT</t>
  </si>
  <si>
    <t>burning loss of carbon</t>
  </si>
  <si>
    <t>net yield of carbon</t>
  </si>
  <si>
    <t>Yield</t>
  </si>
  <si>
    <t xml:space="preserve">Power target </t>
  </si>
  <si>
    <t>Melt rate @ 92% LF</t>
  </si>
  <si>
    <t>SL NO</t>
  </si>
  <si>
    <t>MODEL</t>
  </si>
  <si>
    <t>MT GREEN</t>
  </si>
  <si>
    <t>FURNACE CAPACITY</t>
  </si>
  <si>
    <t>SCRAP YIELD - %</t>
  </si>
  <si>
    <t>RAW MATERIAL -</t>
  </si>
  <si>
    <t>as per sheet2</t>
  </si>
  <si>
    <t>CARBON ON L.M</t>
  </si>
  <si>
    <t>0.2 to 0.25</t>
  </si>
  <si>
    <t>MEGATHERM UPT ON 100%</t>
  </si>
  <si>
    <t>3.A</t>
  </si>
  <si>
    <t>MEGATHERM UPT AS PER AVAILABLE YIELD</t>
  </si>
  <si>
    <t>3.B</t>
  </si>
  <si>
    <t>ADDITIONAL POWER @1660</t>
  </si>
  <si>
    <t>3.C</t>
  </si>
  <si>
    <t>Extra Power for SIP + SIF Melting</t>
  </si>
  <si>
    <t>3.D</t>
  </si>
  <si>
    <t>TOTAL UNITS</t>
  </si>
  <si>
    <t>LINING LIFE</t>
  </si>
  <si>
    <t>POWER</t>
  </si>
  <si>
    <t>LOAD FACTOR</t>
  </si>
  <si>
    <t>MELT RATE</t>
  </si>
  <si>
    <t>TONNAGE AVERAGE</t>
  </si>
  <si>
    <t>HEAT TIME - MINS</t>
  </si>
  <si>
    <t>LOSS OF TIME  IN MIN ON A/C  SLAG OFF  2 TIMES 6MIN, TEMP CHECKING 2 MIN, TAPPING TIME 3 MIN, BACK 1MIN, LINING INSPECTION 2 MINTILTING</t>
  </si>
  <si>
    <t>HEATS PER DAY</t>
  </si>
  <si>
    <t>DAILY PRODUCTION -T</t>
  </si>
  <si>
    <t xml:space="preserve"> New Expansion of 30 MT *4 Induction furnace SMS Charge Mix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</si>
</sst>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"/>
    <numFmt numFmtId="165" formatCode="0.0"/>
  </numFmts>
  <fonts count="11">
    <font>
      <sz val="11"/>
      <color theme="1"/>
      <name val="Calibri"/>
      <charset val="134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mbria"/>
      <family val="1"/>
      <scheme val="major"/>
    </font>
    <font>
      <b/>
      <sz val="9"/>
      <color rgb="FF002060"/>
      <name val="Cambria"/>
      <family val="1"/>
      <scheme val="major"/>
    </font>
    <font>
      <sz val="9"/>
      <color rgb="FF002060"/>
      <name val="Cambria"/>
      <family val="1"/>
      <scheme val="major"/>
    </font>
    <font>
      <b/>
      <u/>
      <sz val="10"/>
      <color rgb="FF002060"/>
      <name val="Cambria"/>
      <family val="1"/>
      <scheme val="major"/>
    </font>
    <font>
      <b/>
      <sz val="10"/>
      <color rgb="FF002060"/>
      <name val="Cambria"/>
      <family val="1"/>
      <scheme val="major"/>
    </font>
    <font>
      <sz val="10"/>
      <color rgb="FF002060"/>
      <name val="Cambria"/>
      <family val="1"/>
      <scheme val="maj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7">
    <xf numFmtId="0" fontId="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1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left"/>
    </xf>
    <xf numFmtId="164" fontId="2" fillId="0" borderId="4" xfId="2" applyNumberFormat="1" applyFont="1" applyBorder="1" applyAlignment="1">
      <alignment horizontal="center"/>
    </xf>
    <xf numFmtId="0" fontId="2" fillId="0" borderId="4" xfId="2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9" fontId="2" fillId="0" borderId="4" xfId="2" applyFont="1" applyBorder="1" applyAlignment="1">
      <alignment horizontal="center"/>
    </xf>
    <xf numFmtId="2" fontId="2" fillId="0" borderId="4" xfId="1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165" fontId="2" fillId="0" borderId="4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wrapText="1"/>
    </xf>
    <xf numFmtId="0" fontId="2" fillId="0" borderId="5" xfId="0" applyFont="1" applyBorder="1"/>
    <xf numFmtId="0" fontId="2" fillId="0" borderId="6" xfId="0" applyFont="1" applyBorder="1" applyAlignment="1">
      <alignment horizontal="left"/>
    </xf>
    <xf numFmtId="1" fontId="2" fillId="0" borderId="6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21" xfId="0" applyFont="1" applyFill="1" applyBorder="1"/>
    <xf numFmtId="1" fontId="6" fillId="0" borderId="22" xfId="0" applyNumberFormat="1" applyFont="1" applyBorder="1" applyAlignment="1">
      <alignment horizontal="center"/>
    </xf>
    <xf numFmtId="2" fontId="6" fillId="3" borderId="22" xfId="0" applyNumberFormat="1" applyFont="1" applyFill="1" applyBorder="1"/>
    <xf numFmtId="164" fontId="6" fillId="3" borderId="22" xfId="0" applyNumberFormat="1" applyFont="1" applyFill="1" applyBorder="1"/>
    <xf numFmtId="0" fontId="5" fillId="0" borderId="21" xfId="0" applyFont="1" applyBorder="1"/>
    <xf numFmtId="2" fontId="6" fillId="0" borderId="22" xfId="0" applyNumberFormat="1" applyFont="1" applyBorder="1"/>
    <xf numFmtId="164" fontId="6" fillId="0" borderId="22" xfId="0" applyNumberFormat="1" applyFont="1" applyBorder="1"/>
    <xf numFmtId="0" fontId="5" fillId="3" borderId="3" xfId="0" applyFont="1" applyFill="1" applyBorder="1"/>
    <xf numFmtId="1" fontId="6" fillId="0" borderId="4" xfId="0" applyNumberFormat="1" applyFont="1" applyBorder="1" applyAlignment="1">
      <alignment horizontal="center"/>
    </xf>
    <xf numFmtId="164" fontId="6" fillId="3" borderId="4" xfId="0" applyNumberFormat="1" applyFont="1" applyFill="1" applyBorder="1"/>
    <xf numFmtId="164" fontId="6" fillId="0" borderId="4" xfId="0" applyNumberFormat="1" applyFont="1" applyBorder="1"/>
    <xf numFmtId="1" fontId="6" fillId="3" borderId="4" xfId="0" applyNumberFormat="1" applyFont="1" applyFill="1" applyBorder="1" applyAlignment="1">
      <alignment horizontal="center"/>
    </xf>
    <xf numFmtId="2" fontId="6" fillId="3" borderId="4" xfId="0" applyNumberFormat="1" applyFont="1" applyFill="1" applyBorder="1"/>
    <xf numFmtId="2" fontId="5" fillId="3" borderId="4" xfId="0" applyNumberFormat="1" applyFont="1" applyFill="1" applyBorder="1" applyAlignment="1">
      <alignment horizontal="center"/>
    </xf>
    <xf numFmtId="2" fontId="5" fillId="3" borderId="4" xfId="0" applyNumberFormat="1" applyFont="1" applyFill="1" applyBorder="1"/>
    <xf numFmtId="0" fontId="5" fillId="3" borderId="5" xfId="0" applyFont="1" applyFill="1" applyBorder="1"/>
    <xf numFmtId="164" fontId="5" fillId="3" borderId="6" xfId="0" applyNumberFormat="1" applyFont="1" applyFill="1" applyBorder="1"/>
    <xf numFmtId="0" fontId="5" fillId="3" borderId="19" xfId="0" applyFont="1" applyFill="1" applyBorder="1"/>
    <xf numFmtId="164" fontId="5" fillId="3" borderId="20" xfId="0" applyNumberFormat="1" applyFont="1" applyFill="1" applyBorder="1"/>
    <xf numFmtId="0" fontId="7" fillId="0" borderId="11" xfId="0" applyFont="1" applyBorder="1"/>
    <xf numFmtId="0" fontId="8" fillId="0" borderId="12" xfId="0" applyFont="1" applyBorder="1"/>
    <xf numFmtId="0" fontId="7" fillId="0" borderId="13" xfId="0" applyFont="1" applyBorder="1"/>
    <xf numFmtId="0" fontId="6" fillId="0" borderId="0" xfId="0" applyFont="1"/>
    <xf numFmtId="0" fontId="9" fillId="0" borderId="23" xfId="0" applyFont="1" applyBorder="1" applyAlignment="1">
      <alignment horizontal="left" vertical="center" indent="6"/>
    </xf>
    <xf numFmtId="0" fontId="6" fillId="0" borderId="24" xfId="0" applyFont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164" fontId="5" fillId="0" borderId="4" xfId="0" applyNumberFormat="1" applyFont="1" applyBorder="1"/>
    <xf numFmtId="164" fontId="5" fillId="3" borderId="4" xfId="0" applyNumberFormat="1" applyFont="1" applyFill="1" applyBorder="1"/>
    <xf numFmtId="164" fontId="5" fillId="0" borderId="20" xfId="0" applyNumberFormat="1" applyFont="1" applyBorder="1"/>
    <xf numFmtId="0" fontId="5" fillId="0" borderId="12" xfId="0" applyFont="1" applyBorder="1"/>
    <xf numFmtId="0" fontId="6" fillId="0" borderId="12" xfId="0" applyFont="1" applyBorder="1"/>
    <xf numFmtId="1" fontId="6" fillId="2" borderId="26" xfId="0" applyNumberFormat="1" applyFont="1" applyFill="1" applyBorder="1"/>
    <xf numFmtId="0" fontId="6" fillId="0" borderId="0" xfId="0" applyFont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2" fontId="6" fillId="3" borderId="32" xfId="0" applyNumberFormat="1" applyFont="1" applyFill="1" applyBorder="1"/>
    <xf numFmtId="0" fontId="5" fillId="0" borderId="3" xfId="0" applyFont="1" applyBorder="1"/>
    <xf numFmtId="2" fontId="6" fillId="3" borderId="30" xfId="0" applyNumberFormat="1" applyFont="1" applyFill="1" applyBorder="1"/>
    <xf numFmtId="2" fontId="6" fillId="0" borderId="32" xfId="0" applyNumberFormat="1" applyFont="1" applyBorder="1"/>
    <xf numFmtId="2" fontId="6" fillId="0" borderId="30" xfId="0" applyNumberFormat="1" applyFont="1" applyBorder="1"/>
    <xf numFmtId="0" fontId="5" fillId="0" borderId="5" xfId="0" applyFont="1" applyBorder="1"/>
    <xf numFmtId="164" fontId="6" fillId="3" borderId="6" xfId="0" applyNumberFormat="1" applyFont="1" applyFill="1" applyBorder="1"/>
    <xf numFmtId="2" fontId="6" fillId="3" borderId="33" xfId="0" applyNumberFormat="1" applyFont="1" applyFill="1" applyBorder="1"/>
    <xf numFmtId="0" fontId="5" fillId="0" borderId="1" xfId="0" applyFont="1" applyBorder="1"/>
    <xf numFmtId="164" fontId="6" fillId="3" borderId="2" xfId="0" applyNumberFormat="1" applyFont="1" applyFill="1" applyBorder="1"/>
    <xf numFmtId="2" fontId="6" fillId="3" borderId="26" xfId="0" applyNumberFormat="1" applyFont="1" applyFill="1" applyBorder="1"/>
    <xf numFmtId="2" fontId="5" fillId="3" borderId="30" xfId="0" applyNumberFormat="1" applyFont="1" applyFill="1" applyBorder="1"/>
    <xf numFmtId="164" fontId="6" fillId="3" borderId="30" xfId="0" applyNumberFormat="1" applyFont="1" applyFill="1" applyBorder="1"/>
    <xf numFmtId="0" fontId="5" fillId="3" borderId="1" xfId="0" applyFont="1" applyFill="1" applyBorder="1"/>
    <xf numFmtId="2" fontId="6" fillId="0" borderId="26" xfId="0" applyNumberFormat="1" applyFont="1" applyBorder="1"/>
    <xf numFmtId="164" fontId="5" fillId="3" borderId="33" xfId="0" applyNumberFormat="1" applyFont="1" applyFill="1" applyBorder="1"/>
    <xf numFmtId="164" fontId="5" fillId="3" borderId="31" xfId="0" applyNumberFormat="1" applyFont="1" applyFill="1" applyBorder="1"/>
    <xf numFmtId="0" fontId="6" fillId="0" borderId="0" xfId="0" applyFont="1" applyAlignment="1">
      <alignment horizontal="center"/>
    </xf>
    <xf numFmtId="0" fontId="5" fillId="0" borderId="25" xfId="0" applyFont="1" applyBorder="1"/>
    <xf numFmtId="0" fontId="6" fillId="0" borderId="27" xfId="0" applyFont="1" applyBorder="1"/>
    <xf numFmtId="0" fontId="6" fillId="0" borderId="10" xfId="0" applyFont="1" applyBorder="1" applyAlignment="1">
      <alignment horizontal="center"/>
    </xf>
    <xf numFmtId="2" fontId="6" fillId="0" borderId="33" xfId="0" applyNumberFormat="1" applyFont="1" applyBorder="1"/>
    <xf numFmtId="0" fontId="4" fillId="0" borderId="13" xfId="0" applyFont="1" applyBorder="1"/>
    <xf numFmtId="0" fontId="0" fillId="0" borderId="11" xfId="0" applyBorder="1"/>
    <xf numFmtId="0" fontId="0" fillId="0" borderId="12" xfId="0" applyBorder="1"/>
    <xf numFmtId="0" fontId="0" fillId="0" borderId="25" xfId="0" applyBorder="1"/>
    <xf numFmtId="0" fontId="4" fillId="0" borderId="27" xfId="0" applyFont="1" applyBorder="1"/>
    <xf numFmtId="164" fontId="5" fillId="4" borderId="4" xfId="0" applyNumberFormat="1" applyFont="1" applyFill="1" applyBorder="1"/>
    <xf numFmtId="2" fontId="6" fillId="0" borderId="4" xfId="0" applyNumberFormat="1" applyFont="1" applyFill="1" applyBorder="1"/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</cellXfs>
  <cellStyles count="17">
    <cellStyle name="Comma 2" xfId="3" xr:uid="{00000000-0005-0000-0000-000031000000}"/>
    <cellStyle name="Comma 3" xfId="4" xr:uid="{00000000-0005-0000-0000-000032000000}"/>
    <cellStyle name="Comma 4" xfId="5" xr:uid="{00000000-0005-0000-0000-000033000000}"/>
    <cellStyle name="Currency" xfId="1" builtinId="4"/>
    <cellStyle name="Currency 2" xfId="6" xr:uid="{00000000-0005-0000-0000-000034000000}"/>
    <cellStyle name="Currency 2 2" xfId="7" xr:uid="{00000000-0005-0000-0000-000035000000}"/>
    <cellStyle name="Currency 2 3" xfId="8" xr:uid="{00000000-0005-0000-0000-000036000000}"/>
    <cellStyle name="Currency 2 4" xfId="9" xr:uid="{00000000-0005-0000-0000-000037000000}"/>
    <cellStyle name="Currency 3" xfId="10" xr:uid="{00000000-0005-0000-0000-000038000000}"/>
    <cellStyle name="Currency 3 2" xfId="11" xr:uid="{00000000-0005-0000-0000-000039000000}"/>
    <cellStyle name="Currency 3 3" xfId="12" xr:uid="{00000000-0005-0000-0000-00003A000000}"/>
    <cellStyle name="Currency 3 4" xfId="13" xr:uid="{00000000-0005-0000-0000-00003B000000}"/>
    <cellStyle name="Currency 4" xfId="14" xr:uid="{00000000-0005-0000-0000-00003C000000}"/>
    <cellStyle name="Currency 5" xfId="15" xr:uid="{00000000-0005-0000-0000-00003D000000}"/>
    <cellStyle name="Currency 6" xfId="16" xr:uid="{00000000-0005-0000-0000-00003E000000}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X29"/>
  <sheetViews>
    <sheetView tabSelected="1" zoomScaleNormal="100" zoomScalePageLayoutView="91" workbookViewId="0">
      <selection activeCell="B2" sqref="B2:Q2"/>
    </sheetView>
  </sheetViews>
  <sheetFormatPr defaultColWidth="9" defaultRowHeight="14.4"/>
  <cols>
    <col min="1" max="1" width="3.109375" customWidth="1"/>
    <col min="2" max="2" width="21.109375" customWidth="1"/>
    <col min="3" max="3" width="9.33203125" customWidth="1"/>
    <col min="4" max="4" width="10" customWidth="1"/>
    <col min="5" max="5" width="9.6640625" customWidth="1"/>
    <col min="6" max="6" width="7.109375" customWidth="1"/>
    <col min="7" max="7" width="6" customWidth="1"/>
    <col min="8" max="10" width="7.109375" customWidth="1"/>
    <col min="11" max="11" width="6.6640625" customWidth="1"/>
    <col min="12" max="15" width="8.5546875" customWidth="1"/>
    <col min="16" max="16" width="6" customWidth="1"/>
    <col min="17" max="17" width="13" customWidth="1"/>
    <col min="18" max="18" width="2.44140625" customWidth="1"/>
    <col min="19" max="19" width="19.88671875" customWidth="1"/>
    <col min="20" max="20" width="8.5546875" customWidth="1"/>
    <col min="21" max="21" width="7.6640625" customWidth="1"/>
    <col min="22" max="22" width="3.109375" customWidth="1"/>
  </cols>
  <sheetData>
    <row r="1" spans="1:24">
      <c r="A1" s="87" t="s">
        <v>32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</row>
    <row r="2" spans="1:24">
      <c r="A2" s="86"/>
      <c r="B2" s="93" t="s">
        <v>76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5"/>
      <c r="R2" s="58"/>
      <c r="S2" s="108" t="s">
        <v>0</v>
      </c>
      <c r="T2" s="104">
        <v>32</v>
      </c>
      <c r="U2" s="59">
        <f>(T2*1000)/(SUM(D5:D16)/1000)</f>
        <v>40302.267002518893</v>
      </c>
      <c r="V2" s="90"/>
    </row>
    <row r="3" spans="1:24" s="23" customFormat="1" ht="15.75" customHeight="1">
      <c r="A3" s="86"/>
      <c r="B3" s="102" t="s">
        <v>1</v>
      </c>
      <c r="C3" s="104" t="s">
        <v>2</v>
      </c>
      <c r="D3" s="104" t="s">
        <v>3</v>
      </c>
      <c r="E3" s="25" t="s">
        <v>4</v>
      </c>
      <c r="F3" s="96" t="s">
        <v>5</v>
      </c>
      <c r="G3" s="97"/>
      <c r="H3" s="98"/>
      <c r="I3" s="26"/>
      <c r="J3" s="26"/>
      <c r="K3" s="26"/>
      <c r="L3" s="96" t="s">
        <v>6</v>
      </c>
      <c r="M3" s="97"/>
      <c r="N3" s="97"/>
      <c r="O3" s="98"/>
      <c r="P3" s="104" t="s">
        <v>7</v>
      </c>
      <c r="Q3" s="106" t="s">
        <v>7</v>
      </c>
      <c r="R3" s="60"/>
      <c r="S3" s="109"/>
      <c r="T3" s="111"/>
      <c r="U3" s="61">
        <v>10</v>
      </c>
      <c r="V3" s="90"/>
    </row>
    <row r="4" spans="1:24" s="24" customFormat="1" ht="34.200000000000003">
      <c r="A4" s="86"/>
      <c r="B4" s="103"/>
      <c r="C4" s="105"/>
      <c r="D4" s="105"/>
      <c r="E4" s="27" t="s">
        <v>8</v>
      </c>
      <c r="F4" s="27" t="s">
        <v>9</v>
      </c>
      <c r="G4" s="27" t="s">
        <v>10</v>
      </c>
      <c r="H4" s="27" t="s">
        <v>11</v>
      </c>
      <c r="I4" s="53" t="s">
        <v>33</v>
      </c>
      <c r="J4" s="53" t="s">
        <v>34</v>
      </c>
      <c r="K4" s="53" t="s">
        <v>35</v>
      </c>
      <c r="L4" s="27" t="s">
        <v>9</v>
      </c>
      <c r="M4" s="27" t="s">
        <v>10</v>
      </c>
      <c r="N4" s="27" t="s">
        <v>12</v>
      </c>
      <c r="O4" s="27" t="s">
        <v>11</v>
      </c>
      <c r="P4" s="105"/>
      <c r="Q4" s="107"/>
      <c r="R4" s="60"/>
      <c r="S4" s="110"/>
      <c r="T4" s="62" t="s">
        <v>13</v>
      </c>
      <c r="U4" s="63" t="s">
        <v>14</v>
      </c>
      <c r="V4" s="90"/>
    </row>
    <row r="5" spans="1:24">
      <c r="A5" s="86"/>
      <c r="B5" s="28" t="s">
        <v>15</v>
      </c>
      <c r="C5" s="29">
        <v>0</v>
      </c>
      <c r="D5" s="30">
        <f t="shared" ref="D5:D16" si="0">C5*P5%*10</f>
        <v>0</v>
      </c>
      <c r="E5" s="30">
        <f t="shared" ref="E5:E16" si="1">$E$20*C5%</f>
        <v>0</v>
      </c>
      <c r="F5" s="31">
        <v>0.2</v>
      </c>
      <c r="G5" s="31">
        <v>3.5000000000000003E-2</v>
      </c>
      <c r="H5" s="31">
        <v>4.8000000000000001E-2</v>
      </c>
      <c r="I5" s="31">
        <f>D5*F5%</f>
        <v>0</v>
      </c>
      <c r="J5" s="31">
        <f>I5</f>
        <v>0</v>
      </c>
      <c r="K5" s="31">
        <f t="shared" ref="K5:K10" si="2">J5*0.8</f>
        <v>0</v>
      </c>
      <c r="L5" s="30">
        <f t="shared" ref="L5:L16" si="3">K5</f>
        <v>0</v>
      </c>
      <c r="M5" s="30">
        <f t="shared" ref="M5:M16" si="4">E5*G5%</f>
        <v>0</v>
      </c>
      <c r="N5" s="30"/>
      <c r="O5" s="30">
        <f t="shared" ref="O5:O16" si="5">E5*H5%</f>
        <v>0</v>
      </c>
      <c r="P5" s="30">
        <v>93</v>
      </c>
      <c r="Q5" s="64">
        <f>P5*E5%</f>
        <v>0</v>
      </c>
      <c r="R5" s="50"/>
      <c r="S5" s="65" t="str">
        <f t="shared" ref="S5:S15" si="6">B5</f>
        <v>STEEL MELTING SCRAP</v>
      </c>
      <c r="T5" s="37">
        <f t="shared" ref="T5:T16" si="7">((($U$2*((E5/$E$20)*100)%))/1000)</f>
        <v>0</v>
      </c>
      <c r="U5" s="66">
        <f>T5*$U$3</f>
        <v>0</v>
      </c>
      <c r="V5" s="90"/>
      <c r="W5">
        <f>+C5/93</f>
        <v>0</v>
      </c>
      <c r="X5" s="24">
        <f>50/93%</f>
        <v>53.763440860215049</v>
      </c>
    </row>
    <row r="6" spans="1:24">
      <c r="A6" s="86"/>
      <c r="B6" s="32" t="s">
        <v>36</v>
      </c>
      <c r="C6" s="29">
        <v>0</v>
      </c>
      <c r="D6" s="33">
        <f t="shared" si="0"/>
        <v>0</v>
      </c>
      <c r="E6" s="33">
        <f t="shared" si="1"/>
        <v>0</v>
      </c>
      <c r="F6" s="34">
        <v>0.1</v>
      </c>
      <c r="G6" s="34">
        <v>4.4999999999999998E-2</v>
      </c>
      <c r="H6" s="34">
        <v>6.5000000000000002E-2</v>
      </c>
      <c r="I6" s="34">
        <f>D6*F6%</f>
        <v>0</v>
      </c>
      <c r="J6" s="34">
        <f>I6</f>
        <v>0</v>
      </c>
      <c r="K6" s="34">
        <f t="shared" si="2"/>
        <v>0</v>
      </c>
      <c r="L6" s="33">
        <f t="shared" si="3"/>
        <v>0</v>
      </c>
      <c r="M6" s="33">
        <f t="shared" si="4"/>
        <v>0</v>
      </c>
      <c r="N6" s="33"/>
      <c r="O6" s="33">
        <f t="shared" si="5"/>
        <v>0</v>
      </c>
      <c r="P6" s="33">
        <v>97</v>
      </c>
      <c r="Q6" s="67">
        <f>P6*E6%</f>
        <v>0</v>
      </c>
      <c r="R6" s="50"/>
      <c r="S6" s="65" t="s">
        <v>36</v>
      </c>
      <c r="T6" s="38">
        <f t="shared" si="7"/>
        <v>0</v>
      </c>
      <c r="U6" s="68">
        <f>T6*$U$3</f>
        <v>0</v>
      </c>
      <c r="V6" s="90"/>
      <c r="X6" s="24"/>
    </row>
    <row r="7" spans="1:24">
      <c r="A7" s="86"/>
      <c r="B7" s="32" t="s">
        <v>37</v>
      </c>
      <c r="C7" s="29">
        <v>0</v>
      </c>
      <c r="D7" s="33">
        <f t="shared" si="0"/>
        <v>0</v>
      </c>
      <c r="E7" s="33">
        <f t="shared" si="1"/>
        <v>0</v>
      </c>
      <c r="F7" s="34">
        <v>0.1</v>
      </c>
      <c r="G7" s="34">
        <v>4.4999999999999998E-2</v>
      </c>
      <c r="H7" s="34">
        <v>6.5000000000000002E-2</v>
      </c>
      <c r="I7" s="34">
        <f>D7*F7%</f>
        <v>0</v>
      </c>
      <c r="J7" s="34">
        <f>I7</f>
        <v>0</v>
      </c>
      <c r="K7" s="34">
        <f t="shared" si="2"/>
        <v>0</v>
      </c>
      <c r="L7" s="33">
        <f t="shared" si="3"/>
        <v>0</v>
      </c>
      <c r="M7" s="33">
        <f t="shared" si="4"/>
        <v>0</v>
      </c>
      <c r="N7" s="33"/>
      <c r="O7" s="33">
        <f t="shared" si="5"/>
        <v>0</v>
      </c>
      <c r="P7" s="33">
        <v>98</v>
      </c>
      <c r="Q7" s="67">
        <f>P7*E7%</f>
        <v>0</v>
      </c>
      <c r="R7" s="50"/>
      <c r="S7" s="32" t="s">
        <v>37</v>
      </c>
      <c r="T7" s="38">
        <f t="shared" si="7"/>
        <v>0</v>
      </c>
      <c r="U7" s="68">
        <f>T7*$U$3</f>
        <v>0</v>
      </c>
      <c r="V7" s="90"/>
      <c r="X7" s="24"/>
    </row>
    <row r="8" spans="1:24">
      <c r="A8" s="86"/>
      <c r="B8" s="32" t="s">
        <v>38</v>
      </c>
      <c r="C8" s="29">
        <v>0</v>
      </c>
      <c r="D8" s="33">
        <f t="shared" si="0"/>
        <v>0</v>
      </c>
      <c r="E8" s="33">
        <f t="shared" si="1"/>
        <v>0</v>
      </c>
      <c r="F8" s="34">
        <v>2</v>
      </c>
      <c r="G8" s="34">
        <v>0.06</v>
      </c>
      <c r="H8" s="34">
        <v>0.12</v>
      </c>
      <c r="I8" s="34">
        <f>D8*F8%</f>
        <v>0</v>
      </c>
      <c r="J8" s="34">
        <f>I8</f>
        <v>0</v>
      </c>
      <c r="K8" s="34">
        <f t="shared" si="2"/>
        <v>0</v>
      </c>
      <c r="L8" s="33">
        <f t="shared" si="3"/>
        <v>0</v>
      </c>
      <c r="M8" s="33">
        <f t="shared" si="4"/>
        <v>0</v>
      </c>
      <c r="N8" s="33"/>
      <c r="O8" s="33">
        <f t="shared" si="5"/>
        <v>0</v>
      </c>
      <c r="P8" s="33">
        <v>90</v>
      </c>
      <c r="Q8" s="67">
        <f>P8*E8%</f>
        <v>0</v>
      </c>
      <c r="R8" s="50"/>
      <c r="S8" s="32" t="s">
        <v>39</v>
      </c>
      <c r="T8" s="38">
        <f t="shared" si="7"/>
        <v>0</v>
      </c>
      <c r="U8" s="68">
        <f>T8*$U$3</f>
        <v>0</v>
      </c>
      <c r="V8" s="90"/>
      <c r="X8" s="24"/>
    </row>
    <row r="9" spans="1:24">
      <c r="A9" s="86"/>
      <c r="B9" s="35" t="s">
        <v>16</v>
      </c>
      <c r="C9" s="36">
        <v>25</v>
      </c>
      <c r="D9" s="30">
        <f t="shared" si="0"/>
        <v>195</v>
      </c>
      <c r="E9" s="33">
        <f t="shared" si="1"/>
        <v>250</v>
      </c>
      <c r="F9" s="37">
        <v>0.1</v>
      </c>
      <c r="G9" s="37">
        <v>4.2000000000000003E-2</v>
      </c>
      <c r="H9" s="38">
        <v>0.08</v>
      </c>
      <c r="I9" s="31">
        <f t="shared" ref="I9:I18" si="8">D9*F9%</f>
        <v>0.19500000000000001</v>
      </c>
      <c r="J9" s="31">
        <f>I9*0.75</f>
        <v>0.14624999999999999</v>
      </c>
      <c r="K9" s="31">
        <f t="shared" si="2"/>
        <v>0.11699999999999999</v>
      </c>
      <c r="L9" s="30">
        <f t="shared" si="3"/>
        <v>0.11699999999999999</v>
      </c>
      <c r="M9" s="40">
        <f t="shared" si="4"/>
        <v>0.10500000000000001</v>
      </c>
      <c r="N9" s="40"/>
      <c r="O9" s="40">
        <f t="shared" si="5"/>
        <v>0.2</v>
      </c>
      <c r="P9" s="92">
        <v>78</v>
      </c>
      <c r="Q9" s="66">
        <f>P9*E9%</f>
        <v>195</v>
      </c>
      <c r="R9" s="50"/>
      <c r="S9" s="65" t="str">
        <f t="shared" si="6"/>
        <v>SPONGE IRON LUMPS</v>
      </c>
      <c r="T9" s="37">
        <f t="shared" si="7"/>
        <v>10.075566750629724</v>
      </c>
      <c r="U9" s="66">
        <f>T9*$U$3</f>
        <v>100.75566750629724</v>
      </c>
      <c r="V9" s="90"/>
      <c r="X9" s="24"/>
    </row>
    <row r="10" spans="1:24">
      <c r="A10" s="86"/>
      <c r="B10" s="35" t="s">
        <v>17</v>
      </c>
      <c r="C10" s="36">
        <v>48</v>
      </c>
      <c r="D10" s="30">
        <f t="shared" si="0"/>
        <v>374.4</v>
      </c>
      <c r="E10" s="33">
        <f t="shared" si="1"/>
        <v>480</v>
      </c>
      <c r="F10" s="37">
        <v>0.12</v>
      </c>
      <c r="G10" s="37">
        <v>3.5000000000000003E-2</v>
      </c>
      <c r="H10" s="37">
        <v>0.08</v>
      </c>
      <c r="I10" s="31">
        <f t="shared" si="8"/>
        <v>0.44927999999999996</v>
      </c>
      <c r="J10" s="31">
        <f>I10*0.75</f>
        <v>0.33695999999999998</v>
      </c>
      <c r="K10" s="31">
        <f t="shared" si="2"/>
        <v>0.26956799999999997</v>
      </c>
      <c r="L10" s="30">
        <f t="shared" si="3"/>
        <v>0.26956799999999997</v>
      </c>
      <c r="M10" s="40">
        <f t="shared" si="4"/>
        <v>0.16800000000000004</v>
      </c>
      <c r="N10" s="40"/>
      <c r="O10" s="40">
        <f t="shared" si="5"/>
        <v>0.38400000000000001</v>
      </c>
      <c r="P10" s="92">
        <v>78</v>
      </c>
      <c r="Q10" s="66">
        <f t="shared" ref="Q10:Q16" si="9">E10*P10%</f>
        <v>374.40000000000003</v>
      </c>
      <c r="R10" s="50"/>
      <c r="S10" s="65" t="str">
        <f t="shared" si="6"/>
        <v>SPONGE IRON PELLET</v>
      </c>
      <c r="T10" s="37">
        <f t="shared" si="7"/>
        <v>19.345088161209066</v>
      </c>
      <c r="U10" s="66">
        <f t="shared" ref="U10:U16" si="10">T10*$U$3</f>
        <v>193.45088161209065</v>
      </c>
      <c r="V10" s="90"/>
      <c r="X10" s="24"/>
    </row>
    <row r="11" spans="1:24">
      <c r="A11" s="86"/>
      <c r="B11" s="35" t="s">
        <v>18</v>
      </c>
      <c r="C11" s="36">
        <v>8</v>
      </c>
      <c r="D11" s="30">
        <f t="shared" si="0"/>
        <v>56.8</v>
      </c>
      <c r="E11" s="33">
        <f t="shared" si="1"/>
        <v>80</v>
      </c>
      <c r="F11" s="37">
        <v>0.2</v>
      </c>
      <c r="G11" s="37">
        <v>7.0000000000000007E-2</v>
      </c>
      <c r="H11" s="37">
        <v>0.09</v>
      </c>
      <c r="I11" s="31">
        <f t="shared" si="8"/>
        <v>0.11359999999999999</v>
      </c>
      <c r="J11" s="31">
        <f>I11*0.75</f>
        <v>8.5199999999999998E-2</v>
      </c>
      <c r="K11" s="31">
        <f t="shared" ref="K11:K18" si="11">J11*0.8</f>
        <v>6.8159999999999998E-2</v>
      </c>
      <c r="L11" s="30">
        <f t="shared" si="3"/>
        <v>6.8159999999999998E-2</v>
      </c>
      <c r="M11" s="40">
        <f t="shared" si="4"/>
        <v>5.6000000000000008E-2</v>
      </c>
      <c r="N11" s="40"/>
      <c r="O11" s="40">
        <f t="shared" si="5"/>
        <v>7.1999999999999995E-2</v>
      </c>
      <c r="P11" s="92">
        <v>71</v>
      </c>
      <c r="Q11" s="66">
        <f t="shared" si="9"/>
        <v>56.8</v>
      </c>
      <c r="R11" s="50"/>
      <c r="S11" s="65" t="str">
        <f t="shared" si="6"/>
        <v>SPONGE IRON FINES</v>
      </c>
      <c r="T11" s="37">
        <f t="shared" si="7"/>
        <v>3.2241813602015115</v>
      </c>
      <c r="U11" s="66">
        <f t="shared" si="10"/>
        <v>32.241813602015114</v>
      </c>
      <c r="V11" s="90"/>
      <c r="X11" s="24"/>
    </row>
    <row r="12" spans="1:24">
      <c r="A12" s="86"/>
      <c r="B12" s="35" t="s">
        <v>40</v>
      </c>
      <c r="C12" s="39">
        <v>0</v>
      </c>
      <c r="D12" s="30">
        <f t="shared" si="0"/>
        <v>0</v>
      </c>
      <c r="E12" s="30">
        <f t="shared" si="1"/>
        <v>0</v>
      </c>
      <c r="F12" s="37">
        <v>3.8</v>
      </c>
      <c r="G12" s="37">
        <v>0.06</v>
      </c>
      <c r="H12" s="37">
        <v>0.12</v>
      </c>
      <c r="I12" s="31">
        <f t="shared" si="8"/>
        <v>0</v>
      </c>
      <c r="J12" s="31">
        <f>I12</f>
        <v>0</v>
      </c>
      <c r="K12" s="31">
        <f t="shared" si="11"/>
        <v>0</v>
      </c>
      <c r="L12" s="30">
        <f t="shared" si="3"/>
        <v>0</v>
      </c>
      <c r="M12" s="40">
        <f t="shared" si="4"/>
        <v>0</v>
      </c>
      <c r="N12" s="40"/>
      <c r="O12" s="40">
        <f t="shared" si="5"/>
        <v>0</v>
      </c>
      <c r="P12" s="92">
        <v>91</v>
      </c>
      <c r="Q12" s="66">
        <f t="shared" si="9"/>
        <v>0</v>
      </c>
      <c r="R12" s="50"/>
      <c r="S12" s="65" t="str">
        <f t="shared" si="6"/>
        <v>PCM JAM</v>
      </c>
      <c r="T12" s="37">
        <f t="shared" si="7"/>
        <v>0</v>
      </c>
      <c r="U12" s="66">
        <f t="shared" si="10"/>
        <v>0</v>
      </c>
      <c r="V12" s="90"/>
      <c r="X12" s="24"/>
    </row>
    <row r="13" spans="1:24">
      <c r="A13" s="86"/>
      <c r="B13" s="35" t="s">
        <v>19</v>
      </c>
      <c r="C13" s="39">
        <v>15</v>
      </c>
      <c r="D13" s="30">
        <f t="shared" si="0"/>
        <v>141</v>
      </c>
      <c r="E13" s="30">
        <f t="shared" si="1"/>
        <v>150</v>
      </c>
      <c r="F13" s="37">
        <v>4.0999999999999996</v>
      </c>
      <c r="G13" s="37">
        <v>3.7999999999999999E-2</v>
      </c>
      <c r="H13" s="37">
        <v>0.112</v>
      </c>
      <c r="I13" s="31">
        <f t="shared" si="8"/>
        <v>5.7809999999999997</v>
      </c>
      <c r="J13" s="31">
        <f>I13</f>
        <v>5.7809999999999997</v>
      </c>
      <c r="K13" s="31">
        <f t="shared" si="11"/>
        <v>4.6247999999999996</v>
      </c>
      <c r="L13" s="30">
        <f t="shared" si="3"/>
        <v>4.6247999999999996</v>
      </c>
      <c r="M13" s="40">
        <f t="shared" si="4"/>
        <v>5.6999999999999995E-2</v>
      </c>
      <c r="N13" s="40"/>
      <c r="O13" s="40">
        <f t="shared" si="5"/>
        <v>0.16800000000000001</v>
      </c>
      <c r="P13" s="40">
        <v>94</v>
      </c>
      <c r="Q13" s="66">
        <f t="shared" si="9"/>
        <v>141</v>
      </c>
      <c r="R13" s="50"/>
      <c r="S13" s="65" t="str">
        <f t="shared" si="6"/>
        <v>PIG IRON</v>
      </c>
      <c r="T13" s="37">
        <f t="shared" si="7"/>
        <v>6.0453400503778338</v>
      </c>
      <c r="U13" s="66">
        <f t="shared" si="10"/>
        <v>60.45340050377834</v>
      </c>
      <c r="V13" s="90"/>
      <c r="X13" s="24"/>
    </row>
    <row r="14" spans="1:24">
      <c r="A14" s="86"/>
      <c r="B14" s="35" t="s">
        <v>41</v>
      </c>
      <c r="C14" s="39">
        <v>0</v>
      </c>
      <c r="D14" s="30">
        <f t="shared" si="0"/>
        <v>0</v>
      </c>
      <c r="E14" s="30">
        <f t="shared" si="1"/>
        <v>0</v>
      </c>
      <c r="F14" s="37">
        <v>3.6</v>
      </c>
      <c r="G14" s="37">
        <v>0.05</v>
      </c>
      <c r="H14" s="37">
        <v>0.13500000000000001</v>
      </c>
      <c r="I14" s="31">
        <f t="shared" si="8"/>
        <v>0</v>
      </c>
      <c r="J14" s="31">
        <f>I14</f>
        <v>0</v>
      </c>
      <c r="K14" s="31">
        <f t="shared" si="11"/>
        <v>0</v>
      </c>
      <c r="L14" s="30">
        <f t="shared" si="3"/>
        <v>0</v>
      </c>
      <c r="M14" s="40">
        <f t="shared" si="4"/>
        <v>0</v>
      </c>
      <c r="N14" s="40"/>
      <c r="O14" s="40">
        <f t="shared" si="5"/>
        <v>0</v>
      </c>
      <c r="P14" s="40">
        <v>88</v>
      </c>
      <c r="Q14" s="66">
        <f t="shared" si="9"/>
        <v>0</v>
      </c>
      <c r="R14" s="50"/>
      <c r="S14" s="65" t="s">
        <v>41</v>
      </c>
      <c r="T14" s="37">
        <f t="shared" si="7"/>
        <v>0</v>
      </c>
      <c r="U14" s="66">
        <f t="shared" si="10"/>
        <v>0</v>
      </c>
      <c r="V14" s="90"/>
      <c r="X14" s="24"/>
    </row>
    <row r="15" spans="1:24">
      <c r="A15" s="86"/>
      <c r="B15" s="35" t="s">
        <v>20</v>
      </c>
      <c r="C15" s="39">
        <v>4</v>
      </c>
      <c r="D15" s="30">
        <f t="shared" si="0"/>
        <v>26.8</v>
      </c>
      <c r="E15" s="30">
        <f t="shared" si="1"/>
        <v>40</v>
      </c>
      <c r="F15" s="40">
        <v>0.15</v>
      </c>
      <c r="G15" s="37">
        <v>4.4999999999999998E-2</v>
      </c>
      <c r="H15" s="37">
        <v>0.1</v>
      </c>
      <c r="I15" s="31">
        <f t="shared" si="8"/>
        <v>4.02E-2</v>
      </c>
      <c r="J15" s="31">
        <f>I15</f>
        <v>4.02E-2</v>
      </c>
      <c r="K15" s="31">
        <f t="shared" si="11"/>
        <v>3.2160000000000001E-2</v>
      </c>
      <c r="L15" s="30">
        <f t="shared" si="3"/>
        <v>3.2160000000000001E-2</v>
      </c>
      <c r="M15" s="40">
        <f t="shared" si="4"/>
        <v>1.7999999999999999E-2</v>
      </c>
      <c r="N15" s="40"/>
      <c r="O15" s="40">
        <f t="shared" si="5"/>
        <v>0.04</v>
      </c>
      <c r="P15" s="40">
        <v>67</v>
      </c>
      <c r="Q15" s="66">
        <f t="shared" si="9"/>
        <v>26.8</v>
      </c>
      <c r="R15" s="50"/>
      <c r="S15" s="65" t="str">
        <f t="shared" si="6"/>
        <v>SLAG METAL</v>
      </c>
      <c r="T15" s="37">
        <f t="shared" si="7"/>
        <v>1.6120906801007557</v>
      </c>
      <c r="U15" s="66">
        <f t="shared" si="10"/>
        <v>16.120906801007557</v>
      </c>
      <c r="V15" s="90"/>
      <c r="X15" s="24"/>
    </row>
    <row r="16" spans="1:24">
      <c r="A16" s="86"/>
      <c r="B16" s="35" t="s">
        <v>21</v>
      </c>
      <c r="C16" s="39">
        <v>0</v>
      </c>
      <c r="D16" s="30">
        <f t="shared" si="0"/>
        <v>0</v>
      </c>
      <c r="E16" s="30">
        <f t="shared" si="1"/>
        <v>0</v>
      </c>
      <c r="F16" s="40">
        <v>0.2</v>
      </c>
      <c r="G16" s="40">
        <v>0.04</v>
      </c>
      <c r="H16" s="40">
        <v>4.4999999999999998E-2</v>
      </c>
      <c r="I16" s="31">
        <f t="shared" si="8"/>
        <v>0</v>
      </c>
      <c r="J16" s="31">
        <f>I16</f>
        <v>0</v>
      </c>
      <c r="K16" s="31">
        <f t="shared" si="11"/>
        <v>0</v>
      </c>
      <c r="L16" s="30">
        <f t="shared" si="3"/>
        <v>0</v>
      </c>
      <c r="M16" s="40">
        <f t="shared" si="4"/>
        <v>0</v>
      </c>
      <c r="N16" s="40"/>
      <c r="O16" s="40">
        <f t="shared" si="5"/>
        <v>0</v>
      </c>
      <c r="P16" s="40">
        <v>92</v>
      </c>
      <c r="Q16" s="66">
        <f t="shared" si="9"/>
        <v>0</v>
      </c>
      <c r="R16" s="50"/>
      <c r="S16" s="69" t="s">
        <v>22</v>
      </c>
      <c r="T16" s="70">
        <f t="shared" si="7"/>
        <v>0</v>
      </c>
      <c r="U16" s="71">
        <f t="shared" si="10"/>
        <v>0</v>
      </c>
      <c r="V16" s="90"/>
      <c r="X16" s="24"/>
    </row>
    <row r="17" spans="1:24">
      <c r="A17" s="86"/>
      <c r="B17" s="35" t="s">
        <v>23</v>
      </c>
      <c r="C17" s="41">
        <f>SUM(C5:C16)</f>
        <v>100</v>
      </c>
      <c r="D17" s="42"/>
      <c r="E17" s="42"/>
      <c r="F17" s="42"/>
      <c r="G17" s="42"/>
      <c r="H17" s="42"/>
      <c r="I17" s="31">
        <f t="shared" si="8"/>
        <v>0</v>
      </c>
      <c r="J17" s="31"/>
      <c r="K17" s="31">
        <f t="shared" si="11"/>
        <v>0</v>
      </c>
      <c r="L17" s="42">
        <f>SUM(L5:L16)</f>
        <v>5.111688</v>
      </c>
      <c r="M17" s="42">
        <f>SUM(M5:M16)</f>
        <v>0.40400000000000003</v>
      </c>
      <c r="N17" s="42">
        <f>SUM(N5:N16)</f>
        <v>0</v>
      </c>
      <c r="O17" s="42">
        <f>SUM(O5:O16)</f>
        <v>0.8640000000000001</v>
      </c>
      <c r="P17" s="42"/>
      <c r="Q17" s="66">
        <f>SUM(Q5:Q16)</f>
        <v>794</v>
      </c>
      <c r="R17" s="50"/>
      <c r="S17" s="50"/>
      <c r="T17" s="50"/>
      <c r="U17" s="50"/>
      <c r="V17" s="90"/>
      <c r="X17" s="24"/>
    </row>
    <row r="18" spans="1:24">
      <c r="A18" s="86"/>
      <c r="B18" s="35" t="s">
        <v>24</v>
      </c>
      <c r="C18" s="40"/>
      <c r="D18" s="40">
        <f>E18*70%</f>
        <v>10.149999999999999</v>
      </c>
      <c r="E18" s="40">
        <v>14.5</v>
      </c>
      <c r="F18" s="40">
        <v>0.02</v>
      </c>
      <c r="G18" s="40">
        <v>0.08</v>
      </c>
      <c r="H18" s="40">
        <v>0.35</v>
      </c>
      <c r="I18" s="31">
        <f t="shared" si="8"/>
        <v>2.0299999999999997E-3</v>
      </c>
      <c r="J18" s="31">
        <f>I18</f>
        <v>2.0299999999999997E-3</v>
      </c>
      <c r="K18" s="31">
        <f t="shared" si="11"/>
        <v>1.6239999999999998E-3</v>
      </c>
      <c r="L18" s="30">
        <f>K18</f>
        <v>1.6239999999999998E-3</v>
      </c>
      <c r="M18" s="40">
        <f>E18*G18%</f>
        <v>1.1600000000000001E-2</v>
      </c>
      <c r="N18" s="40">
        <f>E18*0.6*0.7</f>
        <v>6.089999999999999</v>
      </c>
      <c r="O18" s="40">
        <f>E18*H18%</f>
        <v>5.0749999999999997E-2</v>
      </c>
      <c r="P18" s="40">
        <v>70</v>
      </c>
      <c r="Q18" s="66">
        <f>E18*P18%</f>
        <v>10.149999999999999</v>
      </c>
      <c r="R18" s="50"/>
      <c r="S18" s="72" t="str">
        <f>B18</f>
        <v>SLILICO MANGANESE</v>
      </c>
      <c r="T18" s="73">
        <f>((($U$2*((E18/$E$20)*100)%))/1000)</f>
        <v>0.58438287153652402</v>
      </c>
      <c r="U18" s="74">
        <f>T18*$U$3</f>
        <v>5.8438287153652402</v>
      </c>
      <c r="V18" s="90"/>
    </row>
    <row r="19" spans="1:24">
      <c r="A19" s="86"/>
      <c r="B19" s="35" t="s">
        <v>42</v>
      </c>
      <c r="C19" s="40" t="s">
        <v>43</v>
      </c>
      <c r="D19" s="40"/>
      <c r="E19" s="92">
        <v>0</v>
      </c>
      <c r="F19" s="40"/>
      <c r="G19" s="40"/>
      <c r="H19" s="40"/>
      <c r="I19" s="31"/>
      <c r="J19" s="31"/>
      <c r="K19" s="31"/>
      <c r="L19" s="30"/>
      <c r="M19" s="40"/>
      <c r="N19" s="40"/>
      <c r="O19" s="40"/>
      <c r="P19" s="40"/>
      <c r="Q19" s="66"/>
      <c r="R19" s="50"/>
      <c r="S19" s="69" t="str">
        <f>B19</f>
        <v>MET COKE (kg)</v>
      </c>
      <c r="T19" s="70">
        <f>+E19</f>
        <v>0</v>
      </c>
      <c r="U19" s="71">
        <f>T19*$U$3</f>
        <v>0</v>
      </c>
      <c r="V19" s="90"/>
    </row>
    <row r="20" spans="1:24">
      <c r="A20" s="86"/>
      <c r="B20" s="35" t="s">
        <v>25</v>
      </c>
      <c r="C20" s="42"/>
      <c r="D20" s="42"/>
      <c r="E20" s="42">
        <v>1000</v>
      </c>
      <c r="F20" s="42"/>
      <c r="G20" s="42"/>
      <c r="H20" s="42"/>
      <c r="I20" s="42">
        <f>SUM(I5:I18)/1000*100</f>
        <v>0.65811099999999989</v>
      </c>
      <c r="J20" s="42">
        <f>SUM(J5:J18)/1000*100</f>
        <v>0.63916399999999995</v>
      </c>
      <c r="K20" s="34">
        <f>SUM(K5:K18)/1000*100</f>
        <v>0.51133119999999999</v>
      </c>
      <c r="L20" s="42">
        <f>K20</f>
        <v>0.51133119999999999</v>
      </c>
      <c r="M20" s="91">
        <f>(M17+M18)/Q17%</f>
        <v>5.2342569269521411E-2</v>
      </c>
      <c r="N20" s="55"/>
      <c r="O20" s="91">
        <f>O17/Q17%</f>
        <v>0.10881612090680101</v>
      </c>
      <c r="P20" s="42"/>
      <c r="Q20" s="75">
        <v>1000</v>
      </c>
      <c r="R20" s="50"/>
      <c r="S20" s="50"/>
      <c r="T20" s="50"/>
      <c r="U20" s="50"/>
      <c r="V20" s="90"/>
    </row>
    <row r="21" spans="1:24">
      <c r="A21" s="86"/>
      <c r="B21" s="35" t="s">
        <v>44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54"/>
      <c r="N21" s="55"/>
      <c r="O21" s="55"/>
      <c r="P21" s="42"/>
      <c r="Q21" s="75"/>
      <c r="R21" s="50"/>
      <c r="S21" s="50"/>
      <c r="T21" s="50"/>
      <c r="U21" s="50"/>
      <c r="V21" s="90"/>
    </row>
    <row r="22" spans="1:24">
      <c r="A22" s="86"/>
      <c r="B22" s="35" t="s">
        <v>45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54"/>
      <c r="N22" s="55"/>
      <c r="O22" s="55"/>
      <c r="P22" s="42"/>
      <c r="Q22" s="75"/>
      <c r="R22" s="50"/>
      <c r="S22" s="50"/>
      <c r="T22" s="50"/>
      <c r="U22" s="50"/>
      <c r="V22" s="90"/>
    </row>
    <row r="23" spans="1:24">
      <c r="A23" s="86"/>
      <c r="B23" s="35" t="s">
        <v>26</v>
      </c>
      <c r="C23" s="37">
        <f>E9*8%+E10*6%+E11*7%</f>
        <v>54.4</v>
      </c>
      <c r="D23" s="37"/>
      <c r="E23" s="37">
        <f>C23*0.4</f>
        <v>21.76</v>
      </c>
      <c r="F23" s="37">
        <f>E23*0.167</f>
        <v>3.6339200000000003</v>
      </c>
      <c r="G23" s="37"/>
      <c r="H23" s="37"/>
      <c r="I23" s="37"/>
      <c r="J23" s="37"/>
      <c r="K23" s="37"/>
      <c r="L23" s="37"/>
      <c r="M23" s="37"/>
      <c r="N23" s="37"/>
      <c r="O23" s="37"/>
      <c r="P23" s="37">
        <f>Q16/E20</f>
        <v>0</v>
      </c>
      <c r="Q23" s="76"/>
      <c r="R23" s="50"/>
      <c r="S23" s="77" t="s">
        <v>46</v>
      </c>
      <c r="T23" s="78">
        <f>Q25*100</f>
        <v>79.400000000000006</v>
      </c>
      <c r="U23" s="50"/>
      <c r="V23" s="90"/>
    </row>
    <row r="24" spans="1:24">
      <c r="A24" s="86"/>
      <c r="B24" s="43" t="s">
        <v>27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>
        <v>1</v>
      </c>
      <c r="N24" s="44"/>
      <c r="O24" s="44">
        <v>1</v>
      </c>
      <c r="P24" s="44"/>
      <c r="Q24" s="79"/>
      <c r="R24" s="50"/>
      <c r="S24" s="35" t="s">
        <v>47</v>
      </c>
      <c r="T24" s="68">
        <f>'MELT RATE'!C10</f>
        <v>771.09571788413098</v>
      </c>
      <c r="U24" s="50"/>
      <c r="V24" s="90"/>
    </row>
    <row r="25" spans="1:24">
      <c r="A25" s="86"/>
      <c r="B25" s="45" t="s">
        <v>28</v>
      </c>
      <c r="C25" s="46"/>
      <c r="D25" s="46"/>
      <c r="E25" s="46"/>
      <c r="F25" s="46"/>
      <c r="G25" s="46"/>
      <c r="H25" s="46"/>
      <c r="I25" s="46"/>
      <c r="J25" s="46"/>
      <c r="K25" s="46"/>
      <c r="L25" s="46">
        <f>L20</f>
        <v>0.51133119999999999</v>
      </c>
      <c r="M25" s="56">
        <f>M20*M24</f>
        <v>5.2342569269521411E-2</v>
      </c>
      <c r="N25" s="56">
        <f>N18/100</f>
        <v>6.0899999999999989E-2</v>
      </c>
      <c r="O25" s="56">
        <f>O20*O24</f>
        <v>0.10881612090680101</v>
      </c>
      <c r="P25" s="46"/>
      <c r="Q25" s="80">
        <f>Q17/E20</f>
        <v>0.79400000000000004</v>
      </c>
      <c r="R25" s="81"/>
      <c r="S25" s="65" t="s">
        <v>48</v>
      </c>
      <c r="T25" s="68">
        <f>'MELT RATE'!C14</f>
        <v>13.760395642020057</v>
      </c>
      <c r="U25" s="81"/>
      <c r="V25" s="90"/>
    </row>
    <row r="26" spans="1:24">
      <c r="A26" s="86"/>
      <c r="B26" s="47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57">
        <v>4.8528549654121199E-2</v>
      </c>
      <c r="N26" s="57">
        <v>5.4600000000000003E-2</v>
      </c>
      <c r="O26" s="57">
        <v>8.1721186540039903E-2</v>
      </c>
      <c r="P26" s="57"/>
      <c r="Q26" s="82"/>
      <c r="R26" s="50"/>
      <c r="S26" s="65" t="s">
        <v>29</v>
      </c>
      <c r="T26" s="68">
        <f>'MELT RATE'!C18</f>
        <v>164.53087178226946</v>
      </c>
      <c r="U26" s="50"/>
      <c r="V26" s="90"/>
    </row>
    <row r="27" spans="1:24">
      <c r="A27" s="86"/>
      <c r="B27" s="49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83"/>
      <c r="R27" s="50"/>
      <c r="S27" s="65" t="s">
        <v>30</v>
      </c>
      <c r="T27" s="68">
        <f>'MELT RATE'!C19</f>
        <v>8.7521568712381939</v>
      </c>
      <c r="U27" s="50"/>
      <c r="V27" s="90"/>
    </row>
    <row r="28" spans="1:24">
      <c r="A28" s="86"/>
      <c r="B28" s="51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84"/>
      <c r="R28" s="81"/>
      <c r="S28" s="69" t="s">
        <v>31</v>
      </c>
      <c r="T28" s="85">
        <f>'MELT RATE'!C20</f>
        <v>280.0690198796222</v>
      </c>
      <c r="U28" s="81"/>
      <c r="V28" s="90"/>
    </row>
    <row r="29" spans="1:24">
      <c r="A29" s="99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1"/>
    </row>
  </sheetData>
  <mergeCells count="11">
    <mergeCell ref="B2:Q2"/>
    <mergeCell ref="F3:H3"/>
    <mergeCell ref="L3:O3"/>
    <mergeCell ref="A29:V29"/>
    <mergeCell ref="B3:B4"/>
    <mergeCell ref="C3:C4"/>
    <mergeCell ref="D3:D4"/>
    <mergeCell ref="P3:P4"/>
    <mergeCell ref="Q3:Q4"/>
    <mergeCell ref="S2:S4"/>
    <mergeCell ref="T2:T3"/>
  </mergeCells>
  <pageMargins left="0.70866141732283505" right="0.70866141732283505" top="0.74803149606299202" bottom="0.74803149606299202" header="0.31496062992126" footer="0.31496062992126"/>
  <pageSetup scale="64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0"/>
  <sheetViews>
    <sheetView zoomScale="115" zoomScaleNormal="115" workbookViewId="0">
      <selection activeCell="C18" sqref="C18"/>
    </sheetView>
  </sheetViews>
  <sheetFormatPr defaultColWidth="9" defaultRowHeight="14.4"/>
  <cols>
    <col min="1" max="1" width="6.33203125" customWidth="1"/>
    <col min="2" max="2" width="36.88671875" customWidth="1"/>
    <col min="3" max="3" width="12.6640625" customWidth="1"/>
  </cols>
  <sheetData>
    <row r="1" spans="1:3">
      <c r="A1" s="1" t="s">
        <v>49</v>
      </c>
      <c r="B1" s="2" t="s">
        <v>50</v>
      </c>
      <c r="C1" s="3" t="s">
        <v>51</v>
      </c>
    </row>
    <row r="2" spans="1:3">
      <c r="A2" s="4"/>
      <c r="B2" s="5" t="s">
        <v>52</v>
      </c>
      <c r="C2" s="6">
        <v>30</v>
      </c>
    </row>
    <row r="3" spans="1:3">
      <c r="A3" s="7">
        <v>1</v>
      </c>
      <c r="B3" s="8" t="s">
        <v>53</v>
      </c>
      <c r="C3" s="9">
        <f>'11-08-2026'!Q25*100</f>
        <v>79.400000000000006</v>
      </c>
    </row>
    <row r="4" spans="1:3">
      <c r="A4" s="7"/>
      <c r="B4" s="8" t="s">
        <v>54</v>
      </c>
      <c r="C4" s="10" t="s">
        <v>55</v>
      </c>
    </row>
    <row r="5" spans="1:3">
      <c r="A5" s="7"/>
      <c r="B5" s="8" t="s">
        <v>56</v>
      </c>
      <c r="C5" s="10" t="s">
        <v>57</v>
      </c>
    </row>
    <row r="6" spans="1:3">
      <c r="A6" s="7">
        <v>2</v>
      </c>
      <c r="B6" s="8" t="s">
        <v>58</v>
      </c>
      <c r="C6" s="10">
        <v>455</v>
      </c>
    </row>
    <row r="7" spans="1:3">
      <c r="A7" s="7" t="s">
        <v>59</v>
      </c>
      <c r="B7" s="8" t="s">
        <v>60</v>
      </c>
      <c r="C7" s="11">
        <f>((C6*(2-C3/100))/(C3/100))</f>
        <v>691.09571788413098</v>
      </c>
    </row>
    <row r="8" spans="1:3">
      <c r="A8" s="7" t="s">
        <v>61</v>
      </c>
      <c r="B8" s="8" t="s">
        <v>62</v>
      </c>
      <c r="C8" s="11">
        <v>24</v>
      </c>
    </row>
    <row r="9" spans="1:3">
      <c r="A9" s="7" t="s">
        <v>63</v>
      </c>
      <c r="B9" s="8" t="s">
        <v>64</v>
      </c>
      <c r="C9" s="11">
        <f>'11-08-2026'!C10+'11-08-2026'!C11</f>
        <v>56</v>
      </c>
    </row>
    <row r="10" spans="1:3">
      <c r="A10" s="7" t="s">
        <v>65</v>
      </c>
      <c r="B10" s="8" t="s">
        <v>66</v>
      </c>
      <c r="C10" s="11">
        <f>C7+C8+C9</f>
        <v>771.09571788413098</v>
      </c>
    </row>
    <row r="11" spans="1:3">
      <c r="A11" s="7">
        <v>5</v>
      </c>
      <c r="B11" s="8" t="s">
        <v>67</v>
      </c>
      <c r="C11" s="12">
        <v>20</v>
      </c>
    </row>
    <row r="12" spans="1:3">
      <c r="A12" s="7">
        <v>6</v>
      </c>
      <c r="B12" s="8" t="s">
        <v>68</v>
      </c>
      <c r="C12" s="6">
        <v>12000</v>
      </c>
    </row>
    <row r="13" spans="1:3">
      <c r="A13" s="7">
        <v>7</v>
      </c>
      <c r="B13" s="8" t="s">
        <v>69</v>
      </c>
      <c r="C13" s="13">
        <v>0.82</v>
      </c>
    </row>
    <row r="14" spans="1:3">
      <c r="A14" s="7">
        <v>8</v>
      </c>
      <c r="B14" s="8" t="s">
        <v>70</v>
      </c>
      <c r="C14" s="14">
        <f>(C12*C13)/(C10-C9)</f>
        <v>13.760395642020057</v>
      </c>
    </row>
    <row r="15" spans="1:3">
      <c r="A15" s="7">
        <v>9</v>
      </c>
      <c r="B15" s="8" t="s">
        <v>71</v>
      </c>
      <c r="C15" s="12">
        <v>32</v>
      </c>
    </row>
    <row r="16" spans="1:3">
      <c r="A16" s="7">
        <v>10</v>
      </c>
      <c r="B16" s="8" t="s">
        <v>72</v>
      </c>
      <c r="C16" s="15">
        <f>C15*60/C14</f>
        <v>139.53087178226946</v>
      </c>
    </row>
    <row r="17" spans="1:5" ht="55.2">
      <c r="A17" s="16">
        <v>11</v>
      </c>
      <c r="B17" s="17" t="s">
        <v>73</v>
      </c>
      <c r="C17" s="18">
        <v>25</v>
      </c>
    </row>
    <row r="18" spans="1:5">
      <c r="A18" s="7">
        <v>12</v>
      </c>
      <c r="B18" s="8" t="s">
        <v>29</v>
      </c>
      <c r="C18" s="15">
        <f>C17+C16</f>
        <v>164.53087178226946</v>
      </c>
    </row>
    <row r="19" spans="1:5">
      <c r="A19" s="7">
        <v>13</v>
      </c>
      <c r="B19" s="8" t="s">
        <v>74</v>
      </c>
      <c r="C19" s="19">
        <f>24*60/C18</f>
        <v>8.7521568712381939</v>
      </c>
    </row>
    <row r="20" spans="1:5">
      <c r="A20" s="20">
        <v>14</v>
      </c>
      <c r="B20" s="21" t="s">
        <v>75</v>
      </c>
      <c r="C20" s="22">
        <f>C19*C15</f>
        <v>280.0690198796222</v>
      </c>
      <c r="D20">
        <v>4</v>
      </c>
      <c r="E20">
        <f>+C20*D20</f>
        <v>1120.2760795184888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E2179EFB4A3E4CB62E85AC631FC4CA" ma:contentTypeVersion="12" ma:contentTypeDescription="Create a new document." ma:contentTypeScope="" ma:versionID="79fa80c5f803e8fb07aac01def6d2087">
  <xsd:schema xmlns:xsd="http://www.w3.org/2001/XMLSchema" xmlns:xs="http://www.w3.org/2001/XMLSchema" xmlns:p="http://schemas.microsoft.com/office/2006/metadata/properties" xmlns:ns3="9a75dec3-a10a-4d26-9768-b5efdf8f78b2" xmlns:ns4="87fe9602-35d4-4742-beb5-f628ab41723e" targetNamespace="http://schemas.microsoft.com/office/2006/metadata/properties" ma:root="true" ma:fieldsID="32a217fdee12738843a3485ef5b972e4" ns3:_="" ns4:_="">
    <xsd:import namespace="9a75dec3-a10a-4d26-9768-b5efdf8f78b2"/>
    <xsd:import namespace="87fe9602-35d4-4742-beb5-f628ab41723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5dec3-a10a-4d26-9768-b5efdf8f78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e9602-35d4-4742-beb5-f628ab41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3C4C70-B1C7-49C2-BAAF-92ED7BB80108}">
  <ds:schemaRefs/>
</ds:datastoreItem>
</file>

<file path=customXml/itemProps2.xml><?xml version="1.0" encoding="utf-8"?>
<ds:datastoreItem xmlns:ds="http://schemas.openxmlformats.org/officeDocument/2006/customXml" ds:itemID="{0FBC1FC4-2785-4D60-B6C7-4C59A133D263}">
  <ds:schemaRefs/>
</ds:datastoreItem>
</file>

<file path=customXml/itemProps3.xml><?xml version="1.0" encoding="utf-8"?>
<ds:datastoreItem xmlns:ds="http://schemas.openxmlformats.org/officeDocument/2006/customXml" ds:itemID="{A241B2F9-D7FB-4782-86F8-4BFC06214C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11-08-2026</vt:lpstr>
      <vt:lpstr>MELT RATE</vt:lpstr>
    </vt:vector>
  </TitlesOfParts>
  <Company>GCC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SHAMBHU KUMAR</dc:creator>
  <cp:lastModifiedBy>Santosh Kumar Kohroo</cp:lastModifiedBy>
  <cp:lastPrinted>2026-05-07T07:39:40Z</cp:lastPrinted>
  <dcterms:created xsi:type="dcterms:W3CDTF">2017-05-07T04:59:00Z</dcterms:created>
  <dcterms:modified xsi:type="dcterms:W3CDTF">2026-08-12T13:18:50Z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0x01010077E2179EFB4A3E4CB62E85AC631FC4CA</vt:lpwstr>
  </property>
  <property fmtid="{D5CDD505-2E9C-101B-9397-08002B2CF9AE}" pid="3" name="ICV">
    <vt:lpwstr>F5D03AD6B10C473FBCCDA7ADF35D139E_12</vt:lpwstr>
  </property>
  <property fmtid="{D5CDD505-2E9C-101B-9397-08002B2CF9AE}" pid="4" name="KSOProductBuildVer">
    <vt:lpwstr>1033-12.2.0.23196</vt:lpwstr>
  </property>
</Properties>
</file>